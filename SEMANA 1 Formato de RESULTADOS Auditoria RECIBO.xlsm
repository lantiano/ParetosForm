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4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mxcprdfp1\Engineering\Diego Gutierrez\"/>
    </mc:Choice>
  </mc:AlternateContent>
  <bookViews>
    <workbookView xWindow="0" yWindow="0" windowWidth="23040" windowHeight="9204" tabRatio="854" firstSheet="6" activeTab="6"/>
  </bookViews>
  <sheets>
    <sheet name="Formato EN BLANCO" sheetId="6" state="hidden" r:id="rId1"/>
    <sheet name="Paretos_Editable" sheetId="18" state="hidden" r:id="rId2"/>
    <sheet name="Sheet5" sheetId="29" state="hidden" r:id="rId3"/>
    <sheet name="Tablas Base datos" sheetId="19" state="hidden" r:id="rId4"/>
    <sheet name="sql Server" sheetId="25" state="hidden" r:id="rId5"/>
    <sheet name="Formato Ejemplo 1" sheetId="5" state="hidden" r:id="rId6"/>
    <sheet name="Resultados Auditorias" sheetId="20" r:id="rId7"/>
    <sheet name="Consulta" sheetId="27" r:id="rId8"/>
    <sheet name="Consulta por auditor" sheetId="24" r:id="rId9"/>
    <sheet name="Sheet6" sheetId="32" r:id="rId10"/>
    <sheet name="Consulta acomulado" sheetId="30" r:id="rId11"/>
    <sheet name="Semanas" sheetId="26" state="hidden" r:id="rId12"/>
    <sheet name="Catergorias consolidado" sheetId="31" r:id="rId13"/>
    <sheet name="Paretos_Prueba" sheetId="28" r:id="rId14"/>
    <sheet name="Paretos_Acomulados" sheetId="33" r:id="rId15"/>
    <sheet name="Presentacion" sheetId="22" r:id="rId16"/>
    <sheet name="Presentacion (2)" sheetId="23" r:id="rId17"/>
    <sheet name="Sheet2" sheetId="21" r:id="rId18"/>
    <sheet name="RESULTADO GENERAL " sheetId="8" state="hidden" r:id="rId19"/>
  </sheets>
  <functionGroups builtInGroupCount="18"/>
  <externalReferences>
    <externalReference r:id="rId20"/>
    <externalReference r:id="rId21"/>
  </externalReferences>
  <definedNames>
    <definedName name="_xlnm.Print_Area" localSheetId="15">Presentacion!$A$1:$R$69,Presentacion!$S$1:$AJ$34,Presentacion!$S$36:$AJ$69</definedName>
    <definedName name="_xlnm.Print_Area" localSheetId="16">'Presentacion (2)'!$S$1:$AJ$33,'Presentacion (2)'!$A$1:$R$95</definedName>
    <definedName name="_xlnm.Print_Area" localSheetId="17">Sheet2!$A$1:$AZ$68</definedName>
    <definedName name="Show_chart">IF([1]Dashboard!$K$2:$K$3=1,INDIRECT("'April2023'!AS41"),IF([1]Dashboard!$K$2:$K$3=2,INDIRECT("'April2023'!AT41")))</definedName>
  </definedNames>
  <calcPr calcId="162913"/>
  <pivotCaches>
    <pivotCache cacheId="0" r:id="rId22"/>
    <pivotCache cacheId="1" r:id="rId23"/>
    <pivotCache cacheId="2" r:id="rId24"/>
    <pivotCache cacheId="3" r:id="rId2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3" i="33" l="1"/>
  <c r="E64" i="33" s="1"/>
  <c r="E65" i="33" s="1"/>
  <c r="E66" i="33" s="1"/>
  <c r="E67" i="33" s="1"/>
  <c r="E68" i="33" s="1"/>
  <c r="E69" i="33" s="1"/>
  <c r="E70" i="33" s="1"/>
  <c r="E71" i="33" s="1"/>
  <c r="E72" i="33" s="1"/>
  <c r="E73" i="33" s="1"/>
  <c r="E74" i="33" s="1"/>
  <c r="E75" i="33" s="1"/>
  <c r="E76" i="33" s="1"/>
  <c r="E77" i="33" s="1"/>
  <c r="E78" i="33" s="1"/>
  <c r="E79" i="33" s="1"/>
  <c r="E62" i="33"/>
  <c r="E21" i="31"/>
  <c r="E20" i="31"/>
  <c r="E5" i="31"/>
  <c r="E19" i="31"/>
  <c r="E7" i="31"/>
  <c r="E6" i="31"/>
  <c r="E14" i="31"/>
  <c r="E18" i="31"/>
  <c r="E16" i="31"/>
  <c r="E23" i="31"/>
  <c r="E9" i="31"/>
  <c r="E8" i="31"/>
  <c r="E13" i="31"/>
  <c r="E15" i="31"/>
  <c r="E10" i="31"/>
  <c r="E12" i="31"/>
  <c r="E11" i="31"/>
  <c r="E22" i="31"/>
  <c r="E17" i="31"/>
  <c r="AK13" i="30"/>
  <c r="AB14" i="30"/>
  <c r="AH14" i="30" s="1"/>
  <c r="AK14" i="30"/>
  <c r="AK15" i="30"/>
  <c r="AB16" i="30"/>
  <c r="AH16" i="30" s="1"/>
  <c r="AK16" i="30"/>
  <c r="AC13" i="30"/>
  <c r="AI13" i="30" s="1"/>
  <c r="AD13" i="30"/>
  <c r="AJ13" i="30" s="1"/>
  <c r="AF13" i="30"/>
  <c r="AL13" i="30" s="1"/>
  <c r="AG13" i="30"/>
  <c r="AM13" i="30" s="1"/>
  <c r="AC14" i="30"/>
  <c r="AI14" i="30" s="1"/>
  <c r="AD14" i="30"/>
  <c r="AJ14" i="30" s="1"/>
  <c r="AF14" i="30"/>
  <c r="AL14" i="30" s="1"/>
  <c r="AG14" i="30"/>
  <c r="AM14" i="30" s="1"/>
  <c r="AC15" i="30"/>
  <c r="AI15" i="30" s="1"/>
  <c r="AD15" i="30"/>
  <c r="AJ15" i="30" s="1"/>
  <c r="AF15" i="30"/>
  <c r="AL15" i="30" s="1"/>
  <c r="AG15" i="30"/>
  <c r="AM15" i="30" s="1"/>
  <c r="AC16" i="30"/>
  <c r="AI16" i="30" s="1"/>
  <c r="AD16" i="30"/>
  <c r="AJ16" i="30" s="1"/>
  <c r="AF16" i="30"/>
  <c r="AL16" i="30" s="1"/>
  <c r="AG16" i="30"/>
  <c r="AM16" i="30" s="1"/>
  <c r="AB15" i="30"/>
  <c r="AH15" i="30" s="1"/>
  <c r="AA13" i="30"/>
  <c r="F5" i="24"/>
  <c r="AK12" i="30"/>
  <c r="AK11" i="30"/>
  <c r="AK10" i="30"/>
  <c r="AI10" i="30"/>
  <c r="AH10" i="30"/>
  <c r="AG10" i="30"/>
  <c r="AM10" i="30" s="1"/>
  <c r="AF10" i="30"/>
  <c r="AL10" i="30" s="1"/>
  <c r="AD10" i="30"/>
  <c r="AJ10" i="30" s="1"/>
  <c r="AC10" i="30"/>
  <c r="AB10" i="30"/>
  <c r="AA10" i="30"/>
  <c r="AM9" i="30"/>
  <c r="AL9" i="30"/>
  <c r="AK9" i="30"/>
  <c r="AG9" i="30"/>
  <c r="AF9" i="30"/>
  <c r="AD9" i="30"/>
  <c r="AJ9" i="30" s="1"/>
  <c r="AC9" i="30"/>
  <c r="AI9" i="30" s="1"/>
  <c r="AB9" i="30"/>
  <c r="AH9" i="30" s="1"/>
  <c r="AA9" i="30"/>
  <c r="AC8" i="30"/>
  <c r="AI8" i="30" s="1"/>
  <c r="AG8" i="30"/>
  <c r="AM8" i="30" s="1"/>
  <c r="AD8" i="30"/>
  <c r="AJ8" i="30" s="1"/>
  <c r="AF8" i="30"/>
  <c r="AL8" i="30" s="1"/>
  <c r="AB8" i="30"/>
  <c r="AH8" i="30" s="1"/>
  <c r="AC7" i="30"/>
  <c r="AI7" i="30" s="1"/>
  <c r="AG7" i="30"/>
  <c r="AM7" i="30" s="1"/>
  <c r="AK8" i="30"/>
  <c r="AK7" i="30"/>
  <c r="AH6" i="30"/>
  <c r="AG6" i="30"/>
  <c r="AM6" i="30" s="1"/>
  <c r="AF6" i="30"/>
  <c r="AL6" i="30" s="1"/>
  <c r="AD6" i="30"/>
  <c r="AJ6" i="30" s="1"/>
  <c r="AC6" i="30"/>
  <c r="AI6" i="30" s="1"/>
  <c r="AB6" i="30"/>
  <c r="AA6" i="30"/>
  <c r="AK6" i="30" s="1"/>
  <c r="B6" i="30"/>
  <c r="AM5" i="30"/>
  <c r="AL5" i="30"/>
  <c r="AK5" i="30"/>
  <c r="AG5" i="30"/>
  <c r="AF5" i="30"/>
  <c r="AD5" i="30"/>
  <c r="AJ5" i="30" s="1"/>
  <c r="AC5" i="30"/>
  <c r="AI5" i="30" s="1"/>
  <c r="AB5" i="30"/>
  <c r="AH5" i="30" s="1"/>
  <c r="AA5" i="30"/>
  <c r="B5" i="30"/>
  <c r="AA16" i="30" l="1"/>
  <c r="AA15" i="30"/>
  <c r="AA14" i="30"/>
  <c r="AB13" i="30"/>
  <c r="AH13" i="30" s="1"/>
  <c r="AC11" i="30"/>
  <c r="AI11" i="30" s="1"/>
  <c r="AB12" i="30"/>
  <c r="AH12" i="30" s="1"/>
  <c r="AG11" i="30"/>
  <c r="AM11" i="30" s="1"/>
  <c r="AG12" i="30"/>
  <c r="AM12" i="30" s="1"/>
  <c r="AF11" i="30"/>
  <c r="AL11" i="30" s="1"/>
  <c r="E24" i="31"/>
  <c r="F7" i="31" s="1"/>
  <c r="AB11" i="30"/>
  <c r="AH11" i="30" s="1"/>
  <c r="AF12" i="30"/>
  <c r="AL12" i="30" s="1"/>
  <c r="AD12" i="30"/>
  <c r="AJ12" i="30" s="1"/>
  <c r="AA11" i="30"/>
  <c r="AA12" i="30"/>
  <c r="AD11" i="30"/>
  <c r="AJ11" i="30" s="1"/>
  <c r="AC12" i="30"/>
  <c r="AI12" i="30" s="1"/>
  <c r="AD7" i="30"/>
  <c r="AJ7" i="30" s="1"/>
  <c r="AA8" i="30"/>
  <c r="AF7" i="30"/>
  <c r="AL7" i="30" s="1"/>
  <c r="AA7" i="30"/>
  <c r="AB7" i="30"/>
  <c r="AH7" i="30" s="1"/>
  <c r="G28" i="24"/>
  <c r="G31" i="24"/>
  <c r="G32" i="24"/>
  <c r="G34" i="24"/>
  <c r="G5" i="24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E24" i="24"/>
  <c r="E34" i="24"/>
  <c r="E46" i="24"/>
  <c r="E33" i="24"/>
  <c r="E28" i="24"/>
  <c r="E32" i="24"/>
  <c r="E31" i="24"/>
  <c r="E37" i="24"/>
  <c r="E43" i="24"/>
  <c r="E42" i="24"/>
  <c r="E45" i="24"/>
  <c r="E41" i="24"/>
  <c r="E30" i="24"/>
  <c r="E29" i="24"/>
  <c r="E40" i="24"/>
  <c r="E44" i="24"/>
  <c r="E39" i="24"/>
  <c r="E36" i="24"/>
  <c r="E38" i="24"/>
  <c r="E35" i="24"/>
  <c r="E19" i="24"/>
  <c r="E18" i="24"/>
  <c r="E23" i="24"/>
  <c r="E7" i="24"/>
  <c r="E9" i="24"/>
  <c r="E11" i="24"/>
  <c r="E22" i="24"/>
  <c r="E21" i="24"/>
  <c r="E17" i="24"/>
  <c r="E16" i="24"/>
  <c r="E15" i="24"/>
  <c r="E10" i="24"/>
  <c r="E14" i="24"/>
  <c r="E6" i="24"/>
  <c r="E13" i="24"/>
  <c r="E5" i="24"/>
  <c r="E8" i="24"/>
  <c r="E20" i="24"/>
  <c r="E12" i="24"/>
  <c r="F41" i="20"/>
  <c r="H41" i="20" s="1"/>
  <c r="F40" i="20"/>
  <c r="F39" i="20"/>
  <c r="E41" i="20"/>
  <c r="E40" i="20"/>
  <c r="G40" i="20" s="1"/>
  <c r="E39" i="20"/>
  <c r="G39" i="20" s="1"/>
  <c r="F37" i="20"/>
  <c r="F36" i="20"/>
  <c r="H36" i="20" s="1"/>
  <c r="E37" i="20"/>
  <c r="G37" i="20" s="1"/>
  <c r="E36" i="20"/>
  <c r="G36" i="20" s="1"/>
  <c r="F34" i="20"/>
  <c r="H34" i="20" s="1"/>
  <c r="F33" i="20"/>
  <c r="E33" i="20"/>
  <c r="E34" i="20"/>
  <c r="F31" i="20"/>
  <c r="F30" i="20"/>
  <c r="H30" i="20" s="1"/>
  <c r="F29" i="20"/>
  <c r="F28" i="20"/>
  <c r="H28" i="20" s="1"/>
  <c r="F27" i="20"/>
  <c r="H27" i="20" s="1"/>
  <c r="F26" i="20"/>
  <c r="H26" i="20" s="1"/>
  <c r="F25" i="20"/>
  <c r="H25" i="20" s="1"/>
  <c r="E31" i="20"/>
  <c r="E21" i="29" s="1"/>
  <c r="E30" i="20"/>
  <c r="E29" i="20"/>
  <c r="G29" i="20" s="1"/>
  <c r="E28" i="20"/>
  <c r="G28" i="20" s="1"/>
  <c r="E27" i="20"/>
  <c r="G27" i="20" s="1"/>
  <c r="E26" i="20"/>
  <c r="E25" i="20"/>
  <c r="E15" i="29" s="1"/>
  <c r="F23" i="20"/>
  <c r="H23" i="20" s="1"/>
  <c r="F22" i="20"/>
  <c r="H22" i="20" s="1"/>
  <c r="F21" i="20"/>
  <c r="H21" i="20" s="1"/>
  <c r="F19" i="20"/>
  <c r="H19" i="20" s="1"/>
  <c r="F18" i="20"/>
  <c r="H18" i="20" s="1"/>
  <c r="E23" i="20"/>
  <c r="G23" i="20" s="1"/>
  <c r="E22" i="20"/>
  <c r="G22" i="20" s="1"/>
  <c r="E21" i="20"/>
  <c r="E11" i="29" s="1"/>
  <c r="E19" i="20"/>
  <c r="E9" i="29" s="1"/>
  <c r="E18" i="20"/>
  <c r="G60" i="29"/>
  <c r="F60" i="29"/>
  <c r="G59" i="29"/>
  <c r="F59" i="29"/>
  <c r="G58" i="29"/>
  <c r="F58" i="29"/>
  <c r="G56" i="29"/>
  <c r="F56" i="29"/>
  <c r="G55" i="29"/>
  <c r="F55" i="29"/>
  <c r="G53" i="29"/>
  <c r="F53" i="29"/>
  <c r="G52" i="29"/>
  <c r="F52" i="29"/>
  <c r="G50" i="29"/>
  <c r="F50" i="29"/>
  <c r="G49" i="29"/>
  <c r="F49" i="29"/>
  <c r="G48" i="29"/>
  <c r="F48" i="29"/>
  <c r="G47" i="29"/>
  <c r="F47" i="29"/>
  <c r="G46" i="29"/>
  <c r="F46" i="29"/>
  <c r="G45" i="29"/>
  <c r="F45" i="29"/>
  <c r="G44" i="29"/>
  <c r="F44" i="29"/>
  <c r="G42" i="29"/>
  <c r="F42" i="29"/>
  <c r="G41" i="29"/>
  <c r="F41" i="29"/>
  <c r="G40" i="29"/>
  <c r="F40" i="29"/>
  <c r="G38" i="29"/>
  <c r="F38" i="29"/>
  <c r="G37" i="29"/>
  <c r="F37" i="29"/>
  <c r="E23" i="29"/>
  <c r="E20" i="29"/>
  <c r="E17" i="29"/>
  <c r="E16" i="29"/>
  <c r="E13" i="29"/>
  <c r="E8" i="29"/>
  <c r="E62" i="28"/>
  <c r="E63" i="28" s="1"/>
  <c r="E64" i="28" s="1"/>
  <c r="E65" i="28" s="1"/>
  <c r="E66" i="28" s="1"/>
  <c r="E67" i="28" s="1"/>
  <c r="E68" i="28" s="1"/>
  <c r="E69" i="28" s="1"/>
  <c r="E70" i="28" s="1"/>
  <c r="E71" i="28" s="1"/>
  <c r="E72" i="28" s="1"/>
  <c r="E73" i="28" s="1"/>
  <c r="E74" i="28" s="1"/>
  <c r="E75" i="28" s="1"/>
  <c r="E76" i="28" s="1"/>
  <c r="E77" i="28" s="1"/>
  <c r="E78" i="28" s="1"/>
  <c r="E79" i="28" s="1"/>
  <c r="AF38" i="27"/>
  <c r="AE38" i="27"/>
  <c r="AK38" i="27" s="1"/>
  <c r="AC38" i="27"/>
  <c r="AB38" i="27"/>
  <c r="AA38" i="27"/>
  <c r="AG38" i="27" s="1"/>
  <c r="Z38" i="27"/>
  <c r="B38" i="27"/>
  <c r="AF37" i="27"/>
  <c r="AL37" i="27" s="1"/>
  <c r="AE37" i="27"/>
  <c r="AK37" i="27" s="1"/>
  <c r="AC37" i="27"/>
  <c r="AI37" i="27" s="1"/>
  <c r="AB37" i="27"/>
  <c r="AA37" i="27"/>
  <c r="Z37" i="27"/>
  <c r="B37" i="27"/>
  <c r="F74" i="20"/>
  <c r="H74" i="20" s="1"/>
  <c r="F73" i="20"/>
  <c r="H73" i="20" s="1"/>
  <c r="F72" i="20"/>
  <c r="H72" i="20" s="1"/>
  <c r="F70" i="20"/>
  <c r="H70" i="20" s="1"/>
  <c r="F69" i="20"/>
  <c r="H69" i="20" s="1"/>
  <c r="F67" i="20"/>
  <c r="H67" i="20" s="1"/>
  <c r="F66" i="20"/>
  <c r="F64" i="20"/>
  <c r="F63" i="20"/>
  <c r="F62" i="20"/>
  <c r="H62" i="20" s="1"/>
  <c r="F61" i="20"/>
  <c r="H61" i="20" s="1"/>
  <c r="F60" i="20"/>
  <c r="H60" i="20" s="1"/>
  <c r="F59" i="20"/>
  <c r="H59" i="20" s="1"/>
  <c r="F58" i="20"/>
  <c r="F56" i="20"/>
  <c r="H56" i="20" s="1"/>
  <c r="F55" i="20"/>
  <c r="H55" i="20" s="1"/>
  <c r="F54" i="20"/>
  <c r="F52" i="20"/>
  <c r="F51" i="20"/>
  <c r="H51" i="20" s="1"/>
  <c r="E52" i="20"/>
  <c r="G52" i="20" s="1"/>
  <c r="E51" i="20"/>
  <c r="G51" i="20" s="1"/>
  <c r="H40" i="20"/>
  <c r="H39" i="20"/>
  <c r="H33" i="20"/>
  <c r="H31" i="20"/>
  <c r="E74" i="20"/>
  <c r="G74" i="20" s="1"/>
  <c r="E73" i="20"/>
  <c r="G73" i="20" s="1"/>
  <c r="E72" i="20"/>
  <c r="G72" i="20" s="1"/>
  <c r="E70" i="20"/>
  <c r="G70" i="20" s="1"/>
  <c r="E69" i="20"/>
  <c r="G69" i="20" s="1"/>
  <c r="E67" i="20"/>
  <c r="G67" i="20" s="1"/>
  <c r="E66" i="20"/>
  <c r="G66" i="20" s="1"/>
  <c r="E64" i="20"/>
  <c r="E63" i="20"/>
  <c r="E62" i="20"/>
  <c r="E61" i="20"/>
  <c r="G61" i="20" s="1"/>
  <c r="E60" i="20"/>
  <c r="G60" i="20" s="1"/>
  <c r="E59" i="20"/>
  <c r="E58" i="20"/>
  <c r="G58" i="20" s="1"/>
  <c r="E56" i="20"/>
  <c r="E55" i="20"/>
  <c r="E54" i="20"/>
  <c r="G41" i="20"/>
  <c r="G33" i="20"/>
  <c r="G30" i="20"/>
  <c r="G26" i="20"/>
  <c r="G21" i="20"/>
  <c r="G18" i="20"/>
  <c r="H66" i="20"/>
  <c r="G64" i="20"/>
  <c r="G63" i="20"/>
  <c r="G56" i="20"/>
  <c r="G54" i="20"/>
  <c r="H63" i="20"/>
  <c r="H64" i="20"/>
  <c r="H58" i="20"/>
  <c r="H54" i="20"/>
  <c r="H52" i="20"/>
  <c r="G59" i="20"/>
  <c r="G62" i="20"/>
  <c r="G55" i="20"/>
  <c r="H37" i="20"/>
  <c r="H29" i="20"/>
  <c r="G34" i="20"/>
  <c r="AF7" i="27"/>
  <c r="AE7" i="27"/>
  <c r="AC7" i="27"/>
  <c r="AB7" i="27"/>
  <c r="AA7" i="27"/>
  <c r="AG7" i="27" s="1"/>
  <c r="Z7" i="27"/>
  <c r="B7" i="27"/>
  <c r="AF6" i="27"/>
  <c r="AE6" i="27"/>
  <c r="AC6" i="27"/>
  <c r="AB6" i="27"/>
  <c r="AH6" i="27" s="1"/>
  <c r="AA6" i="27"/>
  <c r="AG6" i="27" s="1"/>
  <c r="Z6" i="27"/>
  <c r="AJ38" i="27" s="1"/>
  <c r="B6" i="27"/>
  <c r="F12" i="31" l="1"/>
  <c r="F21" i="31"/>
  <c r="F14" i="31"/>
  <c r="F5" i="31"/>
  <c r="F23" i="31"/>
  <c r="F9" i="31"/>
  <c r="F18" i="31"/>
  <c r="F10" i="31"/>
  <c r="F17" i="31"/>
  <c r="F20" i="31"/>
  <c r="F8" i="31"/>
  <c r="F11" i="31"/>
  <c r="F22" i="31"/>
  <c r="F16" i="31"/>
  <c r="F19" i="31"/>
  <c r="F6" i="31"/>
  <c r="F13" i="31"/>
  <c r="F15" i="31"/>
  <c r="G42" i="24"/>
  <c r="G41" i="24"/>
  <c r="G33" i="24"/>
  <c r="G46" i="24"/>
  <c r="G38" i="24"/>
  <c r="G30" i="24"/>
  <c r="G40" i="24"/>
  <c r="G45" i="24"/>
  <c r="G37" i="24"/>
  <c r="G29" i="24"/>
  <c r="G39" i="24"/>
  <c r="G44" i="24"/>
  <c r="G36" i="24"/>
  <c r="G43" i="24"/>
  <c r="G35" i="24"/>
  <c r="E47" i="24"/>
  <c r="G31" i="20"/>
  <c r="E19" i="29"/>
  <c r="E18" i="29"/>
  <c r="G25" i="20"/>
  <c r="E12" i="29"/>
  <c r="G19" i="20"/>
  <c r="AH38" i="27"/>
  <c r="AI38" i="27"/>
  <c r="AK6" i="27"/>
  <c r="AI7" i="27"/>
  <c r="AJ37" i="27"/>
  <c r="AK7" i="27"/>
  <c r="AL38" i="27"/>
  <c r="AL6" i="27"/>
  <c r="AL7" i="27"/>
  <c r="AJ6" i="27"/>
  <c r="AH7" i="27"/>
  <c r="AG37" i="27"/>
  <c r="AH37" i="27"/>
  <c r="AJ7" i="27"/>
  <c r="AI6" i="27"/>
  <c r="K3" i="20"/>
  <c r="D4" i="26" l="1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AP6" i="19" l="1"/>
  <c r="R8" i="19" l="1"/>
  <c r="R9" i="19"/>
  <c r="R7" i="19"/>
  <c r="R6" i="19"/>
  <c r="AK12" i="25" l="1"/>
  <c r="AH12" i="25"/>
  <c r="AG12" i="25"/>
  <c r="AM12" i="25" s="1"/>
  <c r="AF12" i="25"/>
  <c r="AL12" i="25" s="1"/>
  <c r="AD12" i="25"/>
  <c r="AJ12" i="25" s="1"/>
  <c r="AC12" i="25"/>
  <c r="AI12" i="25" s="1"/>
  <c r="AB12" i="25"/>
  <c r="AA12" i="25"/>
  <c r="AM11" i="25"/>
  <c r="AK11" i="25"/>
  <c r="AG11" i="25"/>
  <c r="AF11" i="25"/>
  <c r="AL11" i="25" s="1"/>
  <c r="AD11" i="25"/>
  <c r="AJ11" i="25" s="1"/>
  <c r="AC11" i="25"/>
  <c r="AI11" i="25" s="1"/>
  <c r="AB11" i="25"/>
  <c r="AH11" i="25" s="1"/>
  <c r="AA11" i="25"/>
  <c r="AM10" i="25"/>
  <c r="AK10" i="25"/>
  <c r="AJ10" i="25"/>
  <c r="AI10" i="25"/>
  <c r="AH10" i="25"/>
  <c r="AG10" i="25"/>
  <c r="AF10" i="25"/>
  <c r="AL10" i="25" s="1"/>
  <c r="AD10" i="25"/>
  <c r="AC10" i="25"/>
  <c r="AB10" i="25"/>
  <c r="AA10" i="25"/>
  <c r="AM9" i="25"/>
  <c r="AK9" i="25"/>
  <c r="AG9" i="25"/>
  <c r="AF9" i="25"/>
  <c r="AL9" i="25" s="1"/>
  <c r="AD9" i="25"/>
  <c r="AJ9" i="25" s="1"/>
  <c r="AC9" i="25"/>
  <c r="AI9" i="25" s="1"/>
  <c r="AB9" i="25"/>
  <c r="AH9" i="25" s="1"/>
  <c r="AA9" i="25"/>
  <c r="AZ7" i="19" l="1"/>
  <c r="AX8" i="19"/>
  <c r="AZ8" i="19"/>
  <c r="AZ9" i="19"/>
  <c r="AZ6" i="19"/>
  <c r="AU7" i="19"/>
  <c r="BA7" i="19" s="1"/>
  <c r="AV7" i="19"/>
  <c r="BB7" i="19" s="1"/>
  <c r="AU8" i="19"/>
  <c r="BA8" i="19" s="1"/>
  <c r="AV8" i="19"/>
  <c r="BB8" i="19" s="1"/>
  <c r="AU9" i="19"/>
  <c r="BA9" i="19" s="1"/>
  <c r="AV9" i="19"/>
  <c r="BB9" i="19" s="1"/>
  <c r="AS7" i="19"/>
  <c r="AY7" i="19" s="1"/>
  <c r="AS8" i="19"/>
  <c r="AY8" i="19" s="1"/>
  <c r="AS9" i="19"/>
  <c r="AY9" i="19" s="1"/>
  <c r="AR7" i="19"/>
  <c r="AX7" i="19" s="1"/>
  <c r="AR8" i="19"/>
  <c r="AR9" i="19"/>
  <c r="AX9" i="19" s="1"/>
  <c r="AQ7" i="19"/>
  <c r="AW7" i="19" s="1"/>
  <c r="AQ8" i="19"/>
  <c r="AW8" i="19" s="1"/>
  <c r="AQ9" i="19"/>
  <c r="AW9" i="19" s="1"/>
  <c r="AV6" i="19"/>
  <c r="BB6" i="19" s="1"/>
  <c r="AU6" i="19"/>
  <c r="BA6" i="19" s="1"/>
  <c r="AS6" i="19"/>
  <c r="AY6" i="19" s="1"/>
  <c r="AR6" i="19"/>
  <c r="AX6" i="19" s="1"/>
  <c r="AQ6" i="19"/>
  <c r="AW6" i="19" s="1"/>
  <c r="AP7" i="19"/>
  <c r="AP8" i="19"/>
  <c r="AJ4" i="21"/>
  <c r="S4" i="21"/>
  <c r="A4" i="21"/>
  <c r="AK5" i="23"/>
  <c r="S4" i="23"/>
  <c r="A4" i="23"/>
  <c r="A38" i="22"/>
  <c r="A4" i="22"/>
  <c r="S4" i="22"/>
  <c r="AP9" i="19" l="1"/>
  <c r="N2" i="21" l="1"/>
  <c r="N36" i="22"/>
  <c r="AX3" i="23"/>
  <c r="N2" i="23"/>
  <c r="AF2" i="23"/>
  <c r="AF2" i="22"/>
  <c r="N2" i="22"/>
  <c r="U35" i="5" l="1"/>
  <c r="H75" i="20"/>
  <c r="J76" i="20" s="1"/>
  <c r="G75" i="20"/>
  <c r="I76" i="20" s="1"/>
  <c r="J51" i="20"/>
  <c r="L50" i="20" s="1"/>
  <c r="J54" i="20"/>
  <c r="L53" i="20" s="1"/>
  <c r="J58" i="20"/>
  <c r="L57" i="20" s="1"/>
  <c r="J66" i="20"/>
  <c r="L65" i="20" s="1"/>
  <c r="J69" i="20"/>
  <c r="L68" i="20" s="1"/>
  <c r="J72" i="20"/>
  <c r="L71" i="20" s="1"/>
  <c r="J21" i="20"/>
  <c r="L20" i="20" s="1"/>
  <c r="J25" i="20"/>
  <c r="L24" i="20" s="1"/>
  <c r="J33" i="20"/>
  <c r="L32" i="20" s="1"/>
  <c r="J36" i="20"/>
  <c r="L35" i="20" s="1"/>
  <c r="J39" i="20"/>
  <c r="L38" i="20" s="1"/>
  <c r="J18" i="20"/>
  <c r="H42" i="20"/>
  <c r="J43" i="20" s="1"/>
  <c r="I72" i="20"/>
  <c r="K71" i="20" s="1"/>
  <c r="I69" i="20"/>
  <c r="K68" i="20" s="1"/>
  <c r="I66" i="20"/>
  <c r="K65" i="20" s="1"/>
  <c r="I58" i="20"/>
  <c r="K57" i="20" s="1"/>
  <c r="I54" i="20"/>
  <c r="K53" i="20" s="1"/>
  <c r="I51" i="20"/>
  <c r="K50" i="20" s="1"/>
  <c r="G42" i="20"/>
  <c r="I43" i="20" s="1"/>
  <c r="I39" i="20"/>
  <c r="K38" i="20" s="1"/>
  <c r="I36" i="20"/>
  <c r="K35" i="20" s="1"/>
  <c r="I33" i="20"/>
  <c r="K32" i="20" s="1"/>
  <c r="I25" i="20"/>
  <c r="K24" i="20" s="1"/>
  <c r="I21" i="20"/>
  <c r="K20" i="20" s="1"/>
  <c r="I18" i="20"/>
  <c r="K17" i="20" s="1"/>
  <c r="M17" i="20" s="1"/>
  <c r="I16" i="5"/>
  <c r="I70" i="5"/>
  <c r="I67" i="5"/>
  <c r="I64" i="5"/>
  <c r="I56" i="5"/>
  <c r="I52" i="5"/>
  <c r="I49" i="5"/>
  <c r="H17" i="5"/>
  <c r="M24" i="20" l="1"/>
  <c r="M71" i="20"/>
  <c r="M50" i="20"/>
  <c r="M53" i="20"/>
  <c r="M65" i="20"/>
  <c r="M68" i="20"/>
  <c r="M38" i="20"/>
  <c r="M32" i="20"/>
  <c r="M35" i="20"/>
  <c r="M20" i="20"/>
  <c r="K43" i="20"/>
  <c r="M57" i="20"/>
  <c r="K76" i="20"/>
  <c r="X39" i="18"/>
  <c r="X40" i="18" s="1"/>
  <c r="X41" i="18" s="1"/>
  <c r="X42" i="18" s="1"/>
  <c r="X43" i="18" s="1"/>
  <c r="X44" i="18" s="1"/>
  <c r="X45" i="18" s="1"/>
  <c r="X46" i="18" s="1"/>
  <c r="X47" i="18" s="1"/>
  <c r="X48" i="18" s="1"/>
  <c r="X49" i="18" s="1"/>
  <c r="X50" i="18" s="1"/>
  <c r="X51" i="18" s="1"/>
  <c r="X52" i="18" s="1"/>
  <c r="X53" i="18" s="1"/>
  <c r="X54" i="18" s="1"/>
  <c r="X55" i="18" s="1"/>
  <c r="X56" i="18" s="1"/>
  <c r="S25" i="18"/>
  <c r="T24" i="18" s="1"/>
  <c r="T9" i="18" l="1"/>
  <c r="T13" i="18"/>
  <c r="T17" i="18"/>
  <c r="T21" i="18"/>
  <c r="T6" i="18"/>
  <c r="T10" i="18"/>
  <c r="T14" i="18"/>
  <c r="T18" i="18"/>
  <c r="T22" i="18"/>
  <c r="T7" i="18"/>
  <c r="T11" i="18"/>
  <c r="T15" i="18"/>
  <c r="T19" i="18"/>
  <c r="T23" i="18"/>
  <c r="T8" i="18"/>
  <c r="T12" i="18"/>
  <c r="T16" i="18"/>
  <c r="T20" i="18"/>
  <c r="V6" i="18" l="1"/>
  <c r="U6" i="18"/>
  <c r="U7" i="18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U18" i="18" s="1"/>
  <c r="U19" i="18" s="1"/>
  <c r="U20" i="18" s="1"/>
  <c r="U21" i="18" s="1"/>
  <c r="U22" i="18" s="1"/>
  <c r="U23" i="18" s="1"/>
  <c r="U24" i="18" s="1"/>
  <c r="H71" i="5" l="1"/>
  <c r="H53" i="5"/>
  <c r="H38" i="5"/>
  <c r="H20" i="5"/>
  <c r="F38" i="8"/>
  <c r="G19" i="8" l="1"/>
  <c r="H18" i="8" s="1"/>
  <c r="G37" i="8"/>
  <c r="H36" i="8" s="1"/>
  <c r="F39" i="8"/>
  <c r="F37" i="8"/>
  <c r="F35" i="8"/>
  <c r="F34" i="8"/>
  <c r="F32" i="8"/>
  <c r="F31" i="8"/>
  <c r="F24" i="8"/>
  <c r="F25" i="8"/>
  <c r="F26" i="8"/>
  <c r="F27" i="8"/>
  <c r="F28" i="8"/>
  <c r="F29" i="8"/>
  <c r="F23" i="8"/>
  <c r="F20" i="8"/>
  <c r="F21" i="8"/>
  <c r="F19" i="8"/>
  <c r="F17" i="8"/>
  <c r="F16" i="8"/>
  <c r="G74" i="5"/>
  <c r="G75" i="5" s="1"/>
  <c r="H68" i="5"/>
  <c r="H65" i="5"/>
  <c r="H57" i="5"/>
  <c r="H50" i="5"/>
  <c r="F40" i="8" l="1"/>
  <c r="H19" i="6" l="1"/>
  <c r="H37" i="6"/>
  <c r="H34" i="6"/>
  <c r="H31" i="6"/>
  <c r="H23" i="6"/>
  <c r="H16" i="6"/>
  <c r="G41" i="5"/>
  <c r="G42" i="5" s="1"/>
  <c r="I37" i="5"/>
  <c r="H35" i="5"/>
  <c r="H32" i="5"/>
  <c r="H24" i="5"/>
  <c r="I19" i="5"/>
  <c r="G16" i="8" l="1"/>
  <c r="H15" i="8" s="1"/>
  <c r="I34" i="5"/>
  <c r="G34" i="8"/>
  <c r="H33" i="8" s="1"/>
  <c r="I31" i="5"/>
  <c r="G31" i="8"/>
  <c r="H30" i="8" s="1"/>
  <c r="I23" i="5"/>
  <c r="G23" i="8"/>
  <c r="H22" i="8" l="1"/>
  <c r="F41" i="8"/>
  <c r="G5" i="31" l="1"/>
  <c r="G6" i="31" s="1"/>
  <c r="G7" i="31" s="1"/>
  <c r="G8" i="31" s="1"/>
  <c r="G9" i="31" s="1"/>
  <c r="G10" i="31" s="1"/>
  <c r="G11" i="31" s="1"/>
  <c r="G12" i="31" s="1"/>
  <c r="G13" i="31" l="1"/>
  <c r="G14" i="31" s="1"/>
  <c r="G15" i="31" s="1"/>
  <c r="G16" i="31" s="1"/>
  <c r="G17" i="31" s="1"/>
  <c r="G18" i="31" s="1"/>
  <c r="G19" i="31" s="1"/>
  <c r="G20" i="31" s="1"/>
  <c r="G21" i="31" l="1"/>
  <c r="G22" i="31" s="1"/>
  <c r="G23" i="31" s="1"/>
</calcChain>
</file>

<file path=xl/sharedStrings.xml><?xml version="1.0" encoding="utf-8"?>
<sst xmlns="http://schemas.openxmlformats.org/spreadsheetml/2006/main" count="1260" uniqueCount="287">
  <si>
    <r>
      <rPr>
        <u/>
        <sz val="10"/>
        <color theme="1"/>
        <rFont val="Calibri"/>
        <family val="2"/>
        <scheme val="minor"/>
      </rPr>
      <t>INSTRUCCIONES:</t>
    </r>
    <r>
      <rPr>
        <sz val="10"/>
        <color theme="1"/>
        <rFont val="Calibri"/>
        <family val="2"/>
        <scheme val="minor"/>
      </rPr>
      <t xml:space="preserve">
1. Coloque "0" (si la Respuesta es "Si") ó "1" (si la Respuesta es "No") segun sea el caso en los Puntos 1, 15, 16 y 17
2. Coloque la Cantidad de eventos ú observaciones encontradas durante el recorrido, según el hallazgo del          renglón a evaluar
3. Coloque el Total de Puntos (Sumados) en el Renglon de "Suma de Puntos"
4. Se deberá hacer la resta de 100 MENOS la Suma total de Puntos y coloque el resultado en el renglon de            "</t>
    </r>
    <r>
      <rPr>
        <b/>
        <sz val="10"/>
        <color theme="1"/>
        <rFont val="Calibri"/>
        <family val="2"/>
        <scheme val="minor"/>
      </rPr>
      <t>CALIFICACION</t>
    </r>
    <r>
      <rPr>
        <sz val="10"/>
        <color theme="1"/>
        <rFont val="Calibri"/>
        <family val="2"/>
        <scheme val="minor"/>
      </rPr>
      <t xml:space="preserve">"
5. El formato debera estar firmado por el "Auditor" el "Assistant Manager" y el "Dueño del Area"
6. En el área de "OBSERVACIONES" en la PARTE POSTERIOR DEL FORMATO deberá poner el detalle del evento ó hallazgo indicando el pasillo y la locación </t>
    </r>
  </si>
  <si>
    <t>AREA O ZONA 
AUDITADA:  P17-P18</t>
  </si>
  <si>
    <t>FECHA DE 
AUDITORIA:07/12/23</t>
  </si>
  <si>
    <t>NOMBRE DEL 
AUDITOR: ANTONIO MORENO</t>
  </si>
  <si>
    <t>Criterios de Referencia</t>
  </si>
  <si>
    <r>
      <rPr>
        <b/>
        <sz val="14"/>
        <rFont val="Arial"/>
        <family val="2"/>
      </rPr>
      <t>4</t>
    </r>
    <r>
      <rPr>
        <sz val="11"/>
        <rFont val="Arial"/>
        <family val="2"/>
      </rPr>
      <t xml:space="preserve"> ó Más Eventos/Artículos innecesarios    =    </t>
    </r>
    <r>
      <rPr>
        <b/>
        <sz val="14"/>
        <rFont val="Arial"/>
        <family val="2"/>
      </rPr>
      <t>0 (NO CUMPLE)</t>
    </r>
  </si>
  <si>
    <r>
      <rPr>
        <b/>
        <sz val="14"/>
        <rFont val="Arial"/>
        <family val="2"/>
      </rPr>
      <t>3</t>
    </r>
    <r>
      <rPr>
        <sz val="11"/>
        <rFont val="Arial"/>
        <family val="2"/>
      </rPr>
      <t xml:space="preserve"> Eventos/Artículos innecesarios                =    </t>
    </r>
    <r>
      <rPr>
        <b/>
        <sz val="14"/>
        <rFont val="Arial"/>
        <family val="2"/>
      </rPr>
      <t>1 (REGULAR)</t>
    </r>
  </si>
  <si>
    <r>
      <rPr>
        <b/>
        <sz val="14"/>
        <rFont val="Arial"/>
        <family val="2"/>
      </rPr>
      <t>2</t>
    </r>
    <r>
      <rPr>
        <sz val="11"/>
        <rFont val="Arial"/>
        <family val="2"/>
      </rPr>
      <t xml:space="preserve"> Eventos/Artículos innecesarios                =    </t>
    </r>
    <r>
      <rPr>
        <b/>
        <sz val="14"/>
        <rFont val="Arial"/>
        <family val="2"/>
      </rPr>
      <t>2 (BIEN)</t>
    </r>
  </si>
  <si>
    <r>
      <rPr>
        <b/>
        <sz val="14"/>
        <rFont val="Arial"/>
        <family val="2"/>
      </rPr>
      <t>1</t>
    </r>
    <r>
      <rPr>
        <sz val="11"/>
        <rFont val="Arial"/>
        <family val="2"/>
      </rPr>
      <t xml:space="preserve"> Eventos/Artículos innecesarios                =    </t>
    </r>
    <r>
      <rPr>
        <b/>
        <sz val="14"/>
        <rFont val="Arial"/>
        <family val="2"/>
      </rPr>
      <t>3 (MUY BIEN)</t>
    </r>
  </si>
  <si>
    <r>
      <rPr>
        <b/>
        <sz val="14"/>
        <rFont val="Arial"/>
        <family val="2"/>
      </rPr>
      <t>0</t>
    </r>
    <r>
      <rPr>
        <sz val="11"/>
        <rFont val="Arial"/>
        <family val="2"/>
      </rPr>
      <t xml:space="preserve"> Eventos/Artículos innecesarios                =    </t>
    </r>
    <r>
      <rPr>
        <b/>
        <sz val="14"/>
        <rFont val="Arial"/>
        <family val="2"/>
      </rPr>
      <t>4 (EXCELENTE)</t>
    </r>
  </si>
  <si>
    <t>Clasificar</t>
  </si>
  <si>
    <t>Eventos</t>
  </si>
  <si>
    <t>PUNTUACION</t>
  </si>
  <si>
    <t>TOTAL</t>
  </si>
  <si>
    <t>1. Las herramientas se encuentran en las areas designadas?</t>
  </si>
  <si>
    <t>2. (Escaleras, Pallet Jacks, Tarimas Montacargas, Charolas, Bote de Basura, en su lugar</t>
  </si>
  <si>
    <t>Ordenar</t>
  </si>
  <si>
    <t>3. Objetos Bloqueando Pasillos</t>
  </si>
  <si>
    <t>4. Tarimas saliendo de locaciones</t>
  </si>
  <si>
    <t>5. Material en piso o sin tarima</t>
  </si>
  <si>
    <t>Limpiar</t>
  </si>
  <si>
    <t>6. Tarimas Vacias en locacion o recargadas en pasillo</t>
  </si>
  <si>
    <t>7. Hay mas de un pallet en la localizacion. (uno encima de otro)</t>
  </si>
  <si>
    <t>8. Botes de basura rebasados</t>
  </si>
  <si>
    <t xml:space="preserve">9. Gaylord/caja con ventanas y/o cortes. </t>
  </si>
  <si>
    <t>10. Hay locaciones con fleje (velos de novia ) o esquineros desordenados.</t>
  </si>
  <si>
    <t>11. Hay basura en locaciones, cajas vacias, etc.</t>
  </si>
  <si>
    <t>12. Hay locaciones con material sin caja, con caja abierta ó expuesto (fuera de bolsa/bolsa rasgada)</t>
  </si>
  <si>
    <t>Estandarizar</t>
  </si>
  <si>
    <t>13. Etiqueta de Identificacion de locacion dañada o falta etiqueta.</t>
  </si>
  <si>
    <t>14. Cajas con multiples identificacion de material o sin identificacion.</t>
  </si>
  <si>
    <t>Disciplina</t>
  </si>
  <si>
    <t>15. El Pizarron de 5s esta en buen estado y auditoria esta actualizada.</t>
  </si>
  <si>
    <t>16. El Pizarron de 5s esta en buen estado y auditoria esta actualizada.</t>
  </si>
  <si>
    <t>Seguridad</t>
  </si>
  <si>
    <t>17. Locaciones con tarimas o cajas por caer.</t>
  </si>
  <si>
    <t>18. Salida de Emergencia bloqueada</t>
  </si>
  <si>
    <t>19. Todo el personal utiliza su equipo de proteccion personal designado (chaleco, zapatos)</t>
  </si>
  <si>
    <t>Suma de Puntos</t>
  </si>
  <si>
    <t>LA CALIFICACION SERA EL RESULTADO DE LA SUMA DE PUNTOS ENTRE 76 (76 ES IGUAL AL TOTAL DE PUNTOS ALCANZABLES)</t>
  </si>
  <si>
    <t>CALIFICACION</t>
  </si>
  <si>
    <t>ADOLFO MELENDRES M.</t>
  </si>
  <si>
    <r>
      <rPr>
        <b/>
        <u/>
        <sz val="16"/>
        <color theme="1"/>
        <rFont val="Calibri"/>
        <family val="2"/>
        <scheme val="minor"/>
      </rPr>
      <t>OBSERVACIONES</t>
    </r>
    <r>
      <rPr>
        <b/>
        <sz val="16"/>
        <color theme="1"/>
        <rFont val="Calibri"/>
        <family val="2"/>
        <scheme val="minor"/>
      </rPr>
      <t xml:space="preserve">: </t>
    </r>
    <r>
      <rPr>
        <b/>
        <sz val="12"/>
        <color theme="1"/>
        <rFont val="Calibri"/>
        <family val="2"/>
        <scheme val="minor"/>
      </rPr>
      <t>Deberá poner el detalle del evento ó hallazgo indicando el Pasillo, Locación, Numero de Parte (Si Aplica), etc; en el numero abajo indicado que corresponda al punto de la Auditoría</t>
    </r>
  </si>
  <si>
    <t>OTROS:</t>
  </si>
  <si>
    <t>PASILLOS</t>
  </si>
  <si>
    <t>S33-S34</t>
  </si>
  <si>
    <t>2.(Escaleras, Pallet Jacks, Tarimas Montacargas, Charolas, Bote de Basura, en su lugar</t>
  </si>
  <si>
    <t>S35-S36</t>
  </si>
  <si>
    <t>AREA O ZONA 
AUDITADA: __________________________</t>
  </si>
  <si>
    <t>NOMBRE DEL 
AUDITOR:_____________________</t>
  </si>
  <si>
    <t>S37-S38</t>
  </si>
  <si>
    <t>FECHA DE 
AUDITORIA:_____________________</t>
  </si>
  <si>
    <t>1ra AUD</t>
  </si>
  <si>
    <t>2ra AUD</t>
  </si>
  <si>
    <t>Categorias</t>
  </si>
  <si>
    <t>Codigo</t>
  </si>
  <si>
    <t>Categoria</t>
  </si>
  <si>
    <t>%</t>
  </si>
  <si>
    <t>Acumulado</t>
  </si>
  <si>
    <t>Pallets encimados</t>
  </si>
  <si>
    <t>L</t>
  </si>
  <si>
    <t>Limpieza</t>
  </si>
  <si>
    <t>Basura en locaciones</t>
  </si>
  <si>
    <t>Etiqueta dañada o faltante</t>
  </si>
  <si>
    <t>E</t>
  </si>
  <si>
    <t>Estandarizado</t>
  </si>
  <si>
    <t>Hta se encuentran en las areas designadas</t>
  </si>
  <si>
    <t>C</t>
  </si>
  <si>
    <t>Clasificado</t>
  </si>
  <si>
    <t>fleje o esquineros</t>
  </si>
  <si>
    <t xml:space="preserve">Hta fuera de lugar </t>
  </si>
  <si>
    <t>Botes de basura rebasados</t>
  </si>
  <si>
    <t>Objetos bloqueando pasillo</t>
  </si>
  <si>
    <t>O</t>
  </si>
  <si>
    <t>Orden</t>
  </si>
  <si>
    <t>Tarimas vacias o recargadas en pasillo</t>
  </si>
  <si>
    <t>Tarimas saliendo de locacione</t>
  </si>
  <si>
    <t>Gaylord/caja con ventanas y/o cortes</t>
  </si>
  <si>
    <t>Multiples etiquetas de material o sin ella</t>
  </si>
  <si>
    <t>El Pizarron de 5s esta en buen estado y auditoria esta actualizada.</t>
  </si>
  <si>
    <t>D</t>
  </si>
  <si>
    <t>Locaciones con tarimas o cajas por caer.</t>
  </si>
  <si>
    <t>S</t>
  </si>
  <si>
    <t>Salida de Emergencia bloqueada</t>
  </si>
  <si>
    <t>Todo el personal utiliza su equipo de proteccion personal designado (chaleco, zapatos)</t>
  </si>
  <si>
    <t>Material en piso o sin tarima</t>
  </si>
  <si>
    <t>Hay locaciones con material sin caja, con caja abierta ó expuesto (fuera de bolsa/bolsa rasgada)</t>
  </si>
  <si>
    <t>Row Labels</t>
  </si>
  <si>
    <t>Sum of Eventos</t>
  </si>
  <si>
    <t>Count of Acumulado</t>
  </si>
  <si>
    <t>Grand Total</t>
  </si>
  <si>
    <t>Tarimas saliendo de locaciones</t>
  </si>
  <si>
    <t xml:space="preserve"> Eventos</t>
  </si>
  <si>
    <t>%Eventos</t>
  </si>
  <si>
    <t>NoEmpleado</t>
  </si>
  <si>
    <t>Pasillos</t>
  </si>
  <si>
    <t>Carlos Dominguez</t>
  </si>
  <si>
    <t>Rene Varela</t>
  </si>
  <si>
    <t>Jose Cuevas</t>
  </si>
  <si>
    <t>S45-S46</t>
  </si>
  <si>
    <t>Auditor</t>
  </si>
  <si>
    <t>NO. EMPLEADO:</t>
  </si>
  <si>
    <t>33-34</t>
  </si>
  <si>
    <t>AREA O ZONA AUDITADA:</t>
  </si>
  <si>
    <t>FECHA DE AUDITORIA:</t>
  </si>
  <si>
    <t>NOMBRE DEL AUDITOR:</t>
  </si>
  <si>
    <t>Diego Gutierrez</t>
  </si>
  <si>
    <t>Haz Click en el boton para Capurar tu auditorias</t>
  </si>
  <si>
    <t>Resutado</t>
  </si>
  <si>
    <t>Semana</t>
  </si>
  <si>
    <t>Pasillo</t>
  </si>
  <si>
    <t>Id Secuencial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</si>
  <si>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</si>
  <si>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</si>
  <si>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</si>
  <si>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</si>
  <si>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</si>
  <si>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</si>
  <si>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</si>
  <si>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</si>
  <si>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</si>
  <si>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</si>
  <si>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</si>
  <si>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</si>
  <si>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</si>
  <si>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</si>
  <si>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</si>
  <si>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</si>
  <si>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Semana 17</t>
  </si>
  <si>
    <t>Semana 18</t>
  </si>
  <si>
    <t>Semana 19</t>
  </si>
  <si>
    <t>Semana 20</t>
  </si>
  <si>
    <t>Semana 21</t>
  </si>
  <si>
    <t>Semana 22</t>
  </si>
  <si>
    <t>Semana 23</t>
  </si>
  <si>
    <t>Semana 24</t>
  </si>
  <si>
    <t>Semana 25</t>
  </si>
  <si>
    <t>Semana 26</t>
  </si>
  <si>
    <t>Semana 27</t>
  </si>
  <si>
    <t>Semana 28</t>
  </si>
  <si>
    <t>Semana 29</t>
  </si>
  <si>
    <t>Semana 30</t>
  </si>
  <si>
    <t>Semana 31</t>
  </si>
  <si>
    <t>Semana 32</t>
  </si>
  <si>
    <t>Semana 33</t>
  </si>
  <si>
    <t>Semana 34</t>
  </si>
  <si>
    <t>Semana 35</t>
  </si>
  <si>
    <t>Semana 36</t>
  </si>
  <si>
    <t>Semana 37</t>
  </si>
  <si>
    <t>Semana 38</t>
  </si>
  <si>
    <t>Semana 39</t>
  </si>
  <si>
    <t>Semana 40</t>
  </si>
  <si>
    <t>Semana 41</t>
  </si>
  <si>
    <t>Semana 42</t>
  </si>
  <si>
    <t>Semana 43</t>
  </si>
  <si>
    <t>Semana 44</t>
  </si>
  <si>
    <t>Semana 45</t>
  </si>
  <si>
    <t>Semana 46</t>
  </si>
  <si>
    <t>Semana 47</t>
  </si>
  <si>
    <t>Semana 48</t>
  </si>
  <si>
    <t>Semana 49</t>
  </si>
  <si>
    <t>Semana 50</t>
  </si>
  <si>
    <t>Semana 51</t>
  </si>
  <si>
    <t>Semana 52</t>
  </si>
  <si>
    <t>Semanas Combobox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</si>
  <si>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</si>
  <si>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</si>
  <si>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</si>
  <si>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</si>
  <si>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</si>
  <si>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</si>
  <si>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</si>
  <si>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</si>
  <si>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</si>
  <si>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</si>
  <si>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</si>
  <si>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</si>
  <si>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</si>
  <si>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</si>
  <si>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</si>
  <si>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</si>
  <si>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SEMANA 17</t>
  </si>
  <si>
    <t>SEMANA 18</t>
  </si>
  <si>
    <t>SEMANA 19</t>
  </si>
  <si>
    <t>SEMANA 20</t>
  </si>
  <si>
    <t>SEMANA 21</t>
  </si>
  <si>
    <t>SEMANA 22</t>
  </si>
  <si>
    <t>SEMANA 23</t>
  </si>
  <si>
    <t>SEMANA 24</t>
  </si>
  <si>
    <t>SEMANA 25</t>
  </si>
  <si>
    <t>SEMANA 26</t>
  </si>
  <si>
    <t>SEMANA 27</t>
  </si>
  <si>
    <t>SEMANA 28</t>
  </si>
  <si>
    <t>SEMANA 29</t>
  </si>
  <si>
    <t>SEMANA 30</t>
  </si>
  <si>
    <t>SEMANA 31</t>
  </si>
  <si>
    <t>SEMANA 32</t>
  </si>
  <si>
    <t>SEMANA 33</t>
  </si>
  <si>
    <t>SEMANA 34</t>
  </si>
  <si>
    <t>SEMANA 35</t>
  </si>
  <si>
    <t>SEMANA 36</t>
  </si>
  <si>
    <t>SEMANA 37</t>
  </si>
  <si>
    <t>SEMANA 38</t>
  </si>
  <si>
    <t>SEMANA 39</t>
  </si>
  <si>
    <t>SEMANA 40</t>
  </si>
  <si>
    <t>SEMANA 41</t>
  </si>
  <si>
    <t>SEMANA 42</t>
  </si>
  <si>
    <t>SEMANA 43</t>
  </si>
  <si>
    <t>SEMANA 44</t>
  </si>
  <si>
    <t>SEMANA 45</t>
  </si>
  <si>
    <t>SEMANA 46</t>
  </si>
  <si>
    <t>SEMANA 47</t>
  </si>
  <si>
    <t>SEMANA 48</t>
  </si>
  <si>
    <t>SEMANA 49</t>
  </si>
  <si>
    <t>SEMANA 50</t>
  </si>
  <si>
    <t>SEMANA 51</t>
  </si>
  <si>
    <t>SEMANA 52</t>
  </si>
  <si>
    <t>Fecha Consulta:</t>
  </si>
  <si>
    <t>DSD</t>
  </si>
  <si>
    <t>ASDAS</t>
  </si>
  <si>
    <t>S33-34</t>
  </si>
  <si>
    <t>S35-36</t>
  </si>
  <si>
    <t>S37-38</t>
  </si>
  <si>
    <t>Mario Varela</t>
  </si>
  <si>
    <t>S39-40</t>
  </si>
  <si>
    <t>Codigo 1</t>
  </si>
  <si>
    <t>Codigo 2</t>
  </si>
  <si>
    <t>Codigo 3</t>
  </si>
  <si>
    <t>Codigo 4</t>
  </si>
  <si>
    <t>Codigo 5</t>
  </si>
  <si>
    <t>Codigo 6</t>
  </si>
  <si>
    <t>Codigo 7</t>
  </si>
  <si>
    <t>Codigo 8</t>
  </si>
  <si>
    <t>Codigo 9</t>
  </si>
  <si>
    <t>Codigo 10</t>
  </si>
  <si>
    <t>Codigo 11</t>
  </si>
  <si>
    <t>Codigo 12</t>
  </si>
  <si>
    <t>Codigo 13</t>
  </si>
  <si>
    <t>Codigo 14</t>
  </si>
  <si>
    <t>Codigo 15</t>
  </si>
  <si>
    <t>Codigo 16</t>
  </si>
  <si>
    <t>Codigo 17</t>
  </si>
  <si>
    <t>Codigo 18</t>
  </si>
  <si>
    <t>Codigo 19</t>
  </si>
  <si>
    <t>Total</t>
  </si>
  <si>
    <t>Categoria 1</t>
  </si>
  <si>
    <t>Categoria 2</t>
  </si>
  <si>
    <t>Categoria 3</t>
  </si>
  <si>
    <t>Categoria 4</t>
  </si>
  <si>
    <t>Categoria 5</t>
  </si>
  <si>
    <t>Categoria 6</t>
  </si>
  <si>
    <t>Cat 1 %</t>
  </si>
  <si>
    <t>Cat 2 %</t>
  </si>
  <si>
    <t>Cat 3 %</t>
  </si>
  <si>
    <t>Cat 4 %</t>
  </si>
  <si>
    <t>Cat 5 %</t>
  </si>
  <si>
    <t>Cat 6 %</t>
  </si>
  <si>
    <t>P33-P34</t>
  </si>
  <si>
    <t>Fecha</t>
  </si>
  <si>
    <t>Selecciono una semana</t>
  </si>
  <si>
    <t>Actualizando</t>
  </si>
  <si>
    <t>e8</t>
  </si>
  <si>
    <t>Aud1</t>
  </si>
  <si>
    <t>Aud2</t>
  </si>
  <si>
    <t>2. Escaleras, Pallet Jacks, Tarimas Montacargas, Charolas, Bote de Basura, en su lugar</t>
  </si>
  <si>
    <t>Escaleras, Pallet Jacks, Tarimas Montacargas, Charolas, Bote de Basura, en su lugar</t>
  </si>
  <si>
    <t>Objetos Bloqueando Pasillos</t>
  </si>
  <si>
    <t>Tarimas Vacias en locacion o recargadas en pasillo</t>
  </si>
  <si>
    <t xml:space="preserve">Gaylord/caja con ventanas y/o cortes. </t>
  </si>
  <si>
    <t>Sum of Aud1</t>
  </si>
  <si>
    <t>Sum of %</t>
  </si>
  <si>
    <t>32,S33-S34'S35-S36,94933</t>
  </si>
  <si>
    <t>No.Auditoria</t>
  </si>
  <si>
    <t>Antonio Sanchez</t>
  </si>
  <si>
    <t>S41-42</t>
  </si>
  <si>
    <t>S43-44</t>
  </si>
  <si>
    <t>Las herramientas se encuentran en las areas designadas?</t>
  </si>
  <si>
    <t>Hay mas de un pallet en la localizacion. (uno encima de otro)</t>
  </si>
  <si>
    <t>Hay locaciones con fleje (velos de novia ) o esquineros desordenados.</t>
  </si>
  <si>
    <t>Hay basura en locaciones, cajas vacias, etc.</t>
  </si>
  <si>
    <t>Cajas con multiples identificacion de material o sin identificacion.</t>
  </si>
  <si>
    <t>Etiqueta de Identificacion de locacion dañada o falta etiqueta.</t>
  </si>
  <si>
    <t>No.Defecto</t>
  </si>
  <si>
    <t>Aud1y2</t>
  </si>
  <si>
    <t>Sum of Aud1y2</t>
  </si>
  <si>
    <t>Inicio</t>
  </si>
  <si>
    <t>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</si>
</sst>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2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6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theme="8"/>
      <name val="Calibri"/>
      <family val="2"/>
      <scheme val="minor"/>
    </font>
    <font>
      <b/>
      <sz val="24"/>
      <color theme="8"/>
      <name val="Calibri"/>
      <family val="2"/>
      <scheme val="minor"/>
    </font>
    <font>
      <b/>
      <sz val="20"/>
      <color theme="8"/>
      <name val="Calibri"/>
      <family val="2"/>
      <scheme val="minor"/>
    </font>
    <font>
      <b/>
      <sz val="48"/>
      <name val="Calibri"/>
      <family val="2"/>
      <scheme val="minor"/>
    </font>
    <font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3">
    <xf numFmtId="0" fontId="0" fillId="0" borderId="0"/>
    <xf numFmtId="0" fontId="12" fillId="0" borderId="0"/>
    <xf numFmtId="9" fontId="27" fillId="0" borderId="0" applyFont="0" applyFill="0" applyBorder="0" applyAlignment="0" applyProtection="0"/>
  </cellStyleXfs>
  <cellXfs count="27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0" applyFont="1"/>
    <xf numFmtId="0" fontId="4" fillId="0" borderId="1" xfId="0" applyFont="1" applyBorder="1"/>
    <xf numFmtId="0" fontId="4" fillId="0" borderId="5" xfId="0" applyFont="1" applyBorder="1" applyAlignment="1">
      <alignment wrapText="1"/>
    </xf>
    <xf numFmtId="0" fontId="0" fillId="0" borderId="9" xfId="0" applyBorder="1"/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4" fillId="0" borderId="2" xfId="0" applyFont="1" applyBorder="1" applyAlignment="1">
      <alignment horizontal="left" wrapText="1"/>
    </xf>
    <xf numFmtId="0" fontId="4" fillId="0" borderId="5" xfId="0" applyFont="1" applyBorder="1" applyAlignment="1">
      <alignment horizontal="left" wrapText="1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11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2" xfId="0" applyFont="1" applyBorder="1" applyAlignment="1">
      <alignment wrapText="1"/>
    </xf>
    <xf numFmtId="0" fontId="15" fillId="0" borderId="0" xfId="0" applyFont="1"/>
    <xf numFmtId="0" fontId="4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9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23" fillId="0" borderId="0" xfId="0" applyFont="1" applyAlignment="1">
      <alignment horizontal="left" vertical="top" wrapText="1"/>
    </xf>
    <xf numFmtId="0" fontId="4" fillId="0" borderId="16" xfId="0" applyFont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3" fillId="3" borderId="0" xfId="1" applyFont="1" applyFill="1" applyBorder="1" applyAlignment="1">
      <alignment horizontal="left" vertical="center"/>
    </xf>
    <xf numFmtId="0" fontId="4" fillId="0" borderId="1" xfId="0" applyFont="1" applyBorder="1" applyAlignment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left" wrapText="1"/>
    </xf>
    <xf numFmtId="0" fontId="28" fillId="0" borderId="0" xfId="0" applyFont="1" applyAlignment="1">
      <alignment horizontal="left" vertical="top" wrapText="1"/>
    </xf>
    <xf numFmtId="0" fontId="0" fillId="0" borderId="0" xfId="0" applyFill="1"/>
    <xf numFmtId="0" fontId="0" fillId="0" borderId="0" xfId="0" applyAlignment="1">
      <alignment horizontal="center"/>
    </xf>
    <xf numFmtId="0" fontId="29" fillId="2" borderId="1" xfId="0" applyFont="1" applyFill="1" applyBorder="1" applyAlignment="1">
      <alignment horizontal="left"/>
    </xf>
    <xf numFmtId="0" fontId="29" fillId="0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left"/>
    </xf>
    <xf numFmtId="0" fontId="29" fillId="2" borderId="5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8" fillId="0" borderId="0" xfId="0" applyFont="1"/>
    <xf numFmtId="9" fontId="0" fillId="0" borderId="0" xfId="0" applyNumberForma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 wrapText="1"/>
    </xf>
    <xf numFmtId="9" fontId="0" fillId="0" borderId="1" xfId="2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4" fillId="5" borderId="1" xfId="0" applyFont="1" applyFill="1" applyBorder="1"/>
    <xf numFmtId="0" fontId="4" fillId="5" borderId="1" xfId="0" applyFont="1" applyFill="1" applyBorder="1" applyAlignment="1">
      <alignment horizontal="left" wrapText="1"/>
    </xf>
    <xf numFmtId="9" fontId="0" fillId="0" borderId="0" xfId="0" applyNumberFormat="1" applyFill="1"/>
    <xf numFmtId="0" fontId="0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9" fontId="0" fillId="0" borderId="0" xfId="0" applyNumberFormat="1"/>
    <xf numFmtId="10" fontId="0" fillId="0" borderId="0" xfId="2" applyNumberFormat="1" applyFont="1"/>
    <xf numFmtId="0" fontId="28" fillId="0" borderId="1" xfId="0" applyFont="1" applyBorder="1"/>
    <xf numFmtId="0" fontId="0" fillId="0" borderId="1" xfId="0" applyBorder="1"/>
    <xf numFmtId="0" fontId="0" fillId="0" borderId="1" xfId="0" applyFont="1" applyBorder="1"/>
    <xf numFmtId="0" fontId="28" fillId="0" borderId="0" xfId="0" applyFont="1" applyBorder="1"/>
    <xf numFmtId="0" fontId="0" fillId="0" borderId="0" xfId="0" applyBorder="1"/>
    <xf numFmtId="0" fontId="0" fillId="0" borderId="3" xfId="0" applyBorder="1"/>
    <xf numFmtId="0" fontId="16" fillId="0" borderId="0" xfId="0" applyFont="1" applyBorder="1" applyAlignment="1">
      <alignment horizontal="center"/>
    </xf>
    <xf numFmtId="0" fontId="1" fillId="2" borderId="6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30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14" fontId="3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0" fillId="0" borderId="0" xfId="0" pivotButton="1"/>
    <xf numFmtId="0" fontId="32" fillId="0" borderId="0" xfId="0" applyFont="1" applyAlignment="1">
      <alignment horizontal="center" vertical="center"/>
    </xf>
    <xf numFmtId="9" fontId="10" fillId="0" borderId="0" xfId="0" applyNumberFormat="1" applyFont="1" applyAlignment="1">
      <alignment horizontal="center" vertical="center"/>
    </xf>
    <xf numFmtId="0" fontId="16" fillId="0" borderId="1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0" fillId="0" borderId="0" xfId="0" applyFill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/>
    </xf>
    <xf numFmtId="0" fontId="32" fillId="0" borderId="0" xfId="0" applyFont="1" applyAlignment="1">
      <alignment horizontal="left" vertical="center"/>
    </xf>
    <xf numFmtId="0" fontId="32" fillId="0" borderId="0" xfId="0" applyFont="1" applyFill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9" fontId="19" fillId="0" borderId="0" xfId="0" applyNumberFormat="1" applyFont="1" applyAlignment="1">
      <alignment horizontal="left" vertical="center"/>
    </xf>
    <xf numFmtId="9" fontId="19" fillId="0" borderId="0" xfId="0" applyNumberFormat="1" applyFont="1" applyAlignment="1">
      <alignment horizontal="left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left"/>
    </xf>
    <xf numFmtId="9" fontId="10" fillId="0" borderId="0" xfId="0" applyNumberFormat="1" applyFont="1" applyAlignment="1">
      <alignment horizontal="left" vertical="center"/>
    </xf>
    <xf numFmtId="9" fontId="9" fillId="0" borderId="1" xfId="0" applyNumberFormat="1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0" fontId="32" fillId="0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9" fontId="0" fillId="0" borderId="0" xfId="2" applyFont="1"/>
    <xf numFmtId="9" fontId="19" fillId="0" borderId="0" xfId="2" applyFont="1"/>
    <xf numFmtId="9" fontId="20" fillId="0" borderId="0" xfId="2" applyFont="1"/>
    <xf numFmtId="9" fontId="32" fillId="0" borderId="0" xfId="2" applyFont="1"/>
    <xf numFmtId="9" fontId="32" fillId="0" borderId="0" xfId="2" applyFont="1" applyFill="1"/>
    <xf numFmtId="9" fontId="31" fillId="0" borderId="0" xfId="2" applyFont="1"/>
    <xf numFmtId="0" fontId="28" fillId="0" borderId="1" xfId="0" applyFont="1" applyBorder="1" applyAlignment="1">
      <alignment horizontal="center"/>
    </xf>
    <xf numFmtId="0" fontId="0" fillId="0" borderId="6" xfId="0" applyBorder="1"/>
    <xf numFmtId="0" fontId="28" fillId="0" borderId="9" xfId="0" applyFont="1" applyBorder="1"/>
    <xf numFmtId="0" fontId="37" fillId="0" borderId="0" xfId="0" applyFont="1"/>
    <xf numFmtId="0" fontId="39" fillId="0" borderId="0" xfId="0" applyFont="1" applyFill="1" applyAlignment="1">
      <alignment vertical="center"/>
    </xf>
    <xf numFmtId="0" fontId="38" fillId="0" borderId="0" xfId="0" applyFont="1" applyFill="1" applyAlignment="1">
      <alignment vertical="center"/>
    </xf>
    <xf numFmtId="0" fontId="40" fillId="0" borderId="0" xfId="0" applyFont="1" applyFill="1" applyAlignment="1">
      <alignment vertical="center"/>
    </xf>
    <xf numFmtId="14" fontId="17" fillId="0" borderId="0" xfId="0" applyNumberFormat="1" applyFont="1" applyAlignment="1">
      <alignment vertical="center"/>
    </xf>
    <xf numFmtId="0" fontId="39" fillId="6" borderId="0" xfId="0" applyFont="1" applyFill="1" applyAlignment="1">
      <alignment vertical="center"/>
    </xf>
    <xf numFmtId="1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1" fontId="28" fillId="0" borderId="1" xfId="0" applyNumberFormat="1" applyFont="1" applyFill="1" applyBorder="1" applyAlignment="1">
      <alignment horizontal="center"/>
    </xf>
    <xf numFmtId="1" fontId="0" fillId="0" borderId="1" xfId="0" applyNumberFormat="1" applyBorder="1"/>
    <xf numFmtId="9" fontId="28" fillId="0" borderId="1" xfId="2" applyFont="1" applyFill="1" applyBorder="1" applyAlignment="1">
      <alignment horizontal="center"/>
    </xf>
    <xf numFmtId="9" fontId="0" fillId="0" borderId="1" xfId="2" applyFont="1" applyBorder="1"/>
    <xf numFmtId="1" fontId="0" fillId="0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4" fillId="0" borderId="2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0" fillId="0" borderId="0" xfId="0" applyAlignment="1">
      <alignment horizontal="left" vertical="top" wrapText="1"/>
    </xf>
    <xf numFmtId="0" fontId="4" fillId="0" borderId="6" xfId="0" applyFont="1" applyBorder="1" applyAlignment="1">
      <alignment horizontal="left"/>
    </xf>
    <xf numFmtId="14" fontId="0" fillId="0" borderId="0" xfId="0" applyNumberFormat="1"/>
    <xf numFmtId="0" fontId="4" fillId="0" borderId="2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1" fontId="4" fillId="0" borderId="1" xfId="0" applyNumberFormat="1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>
      <alignment horizontal="center"/>
    </xf>
    <xf numFmtId="0" fontId="0" fillId="0" borderId="14" xfId="0" applyBorder="1"/>
    <xf numFmtId="0" fontId="4" fillId="0" borderId="1" xfId="0" applyFont="1" applyBorder="1" applyAlignment="1">
      <alignment horizontal="left" vertical="center" wrapText="1"/>
    </xf>
    <xf numFmtId="0" fontId="0" fillId="0" borderId="5" xfId="0" applyBorder="1"/>
    <xf numFmtId="0" fontId="0" fillId="0" borderId="12" xfId="0" applyBorder="1"/>
    <xf numFmtId="0" fontId="0" fillId="0" borderId="7" xfId="0" applyBorder="1"/>
    <xf numFmtId="0" fontId="4" fillId="0" borderId="13" xfId="0" applyFont="1" applyBorder="1" applyAlignment="1">
      <alignment horizontal="left" wrapText="1"/>
    </xf>
    <xf numFmtId="1" fontId="4" fillId="0" borderId="13" xfId="0" applyNumberFormat="1" applyFont="1" applyBorder="1" applyAlignment="1">
      <alignment horizontal="center" wrapText="1"/>
    </xf>
    <xf numFmtId="9" fontId="0" fillId="0" borderId="14" xfId="2" applyFont="1" applyBorder="1"/>
    <xf numFmtId="9" fontId="4" fillId="0" borderId="1" xfId="2" applyFont="1" applyBorder="1" applyAlignment="1">
      <alignment horizontal="center" wrapText="1"/>
    </xf>
    <xf numFmtId="9" fontId="4" fillId="0" borderId="1" xfId="2" applyFont="1" applyBorder="1" applyAlignment="1">
      <alignment horizontal="center"/>
    </xf>
    <xf numFmtId="9" fontId="4" fillId="0" borderId="1" xfId="2" applyFont="1" applyBorder="1" applyAlignment="1">
      <alignment horizontal="center" vertical="center" wrapText="1"/>
    </xf>
    <xf numFmtId="9" fontId="4" fillId="0" borderId="13" xfId="2" applyFont="1" applyBorder="1" applyAlignment="1">
      <alignment horizontal="center" wrapText="1"/>
    </xf>
    <xf numFmtId="9" fontId="0" fillId="0" borderId="2" xfId="2" applyFont="1" applyBorder="1"/>
    <xf numFmtId="9" fontId="0" fillId="0" borderId="11" xfId="2" applyFont="1" applyBorder="1"/>
    <xf numFmtId="9" fontId="0" fillId="0" borderId="10" xfId="2" applyFont="1" applyBorder="1"/>
    <xf numFmtId="0" fontId="0" fillId="0" borderId="0" xfId="0" applyFont="1" applyBorder="1"/>
    <xf numFmtId="0" fontId="0" fillId="0" borderId="17" xfId="0" applyBorder="1"/>
    <xf numFmtId="0" fontId="0" fillId="0" borderId="1" xfId="0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42" fillId="0" borderId="0" xfId="0" applyFont="1" applyAlignment="1">
      <alignment horizontal="center" wrapText="1"/>
    </xf>
    <xf numFmtId="0" fontId="0" fillId="0" borderId="27" xfId="0" applyBorder="1"/>
    <xf numFmtId="9" fontId="4" fillId="0" borderId="13" xfId="0" applyNumberFormat="1" applyFont="1" applyBorder="1" applyAlignment="1">
      <alignment horizontal="center" wrapText="1"/>
    </xf>
    <xf numFmtId="9" fontId="27" fillId="0" borderId="10" xfId="0" applyNumberFormat="1" applyFont="1" applyBorder="1"/>
    <xf numFmtId="0" fontId="4" fillId="0" borderId="13" xfId="0" applyFont="1" applyBorder="1" applyAlignment="1">
      <alignment horizontal="left"/>
    </xf>
    <xf numFmtId="14" fontId="0" fillId="0" borderId="0" xfId="0" applyNumberFormat="1" applyAlignment="1">
      <alignment horizontal="center"/>
    </xf>
    <xf numFmtId="0" fontId="16" fillId="0" borderId="1" xfId="0" applyFont="1" applyBorder="1" applyAlignment="1">
      <alignment horizontal="center"/>
    </xf>
    <xf numFmtId="9" fontId="17" fillId="0" borderId="13" xfId="0" applyNumberFormat="1" applyFont="1" applyBorder="1" applyAlignment="1">
      <alignment horizontal="center" vertical="center"/>
    </xf>
    <xf numFmtId="9" fontId="17" fillId="0" borderId="1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0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4" fillId="0" borderId="11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2" borderId="1" xfId="1" applyFont="1" applyFill="1" applyBorder="1" applyAlignment="1">
      <alignment horizontal="center" vertical="center"/>
    </xf>
    <xf numFmtId="0" fontId="13" fillId="3" borderId="1" xfId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left" wrapText="1"/>
    </xf>
    <xf numFmtId="0" fontId="4" fillId="0" borderId="6" xfId="0" applyFont="1" applyBorder="1" applyAlignment="1">
      <alignment horizontal="left" wrapText="1"/>
    </xf>
    <xf numFmtId="9" fontId="17" fillId="0" borderId="1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left"/>
    </xf>
    <xf numFmtId="0" fontId="4" fillId="0" borderId="2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center" vertical="center"/>
    </xf>
    <xf numFmtId="9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6" fillId="0" borderId="10" xfId="0" applyFont="1" applyBorder="1" applyAlignment="1">
      <alignment horizontal="left" vertical="top" wrapText="1"/>
    </xf>
    <xf numFmtId="0" fontId="6" fillId="0" borderId="3" xfId="0" applyFont="1" applyBorder="1" applyAlignment="1">
      <alignment horizontal="left" vertical="top"/>
    </xf>
    <xf numFmtId="0" fontId="6" fillId="0" borderId="7" xfId="0" applyFont="1" applyBorder="1" applyAlignment="1">
      <alignment horizontal="left" vertical="top"/>
    </xf>
    <xf numFmtId="0" fontId="6" fillId="0" borderId="11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top"/>
    </xf>
    <xf numFmtId="0" fontId="17" fillId="0" borderId="1" xfId="0" applyFont="1" applyBorder="1" applyAlignment="1">
      <alignment horizontal="right" vertical="center"/>
    </xf>
    <xf numFmtId="0" fontId="9" fillId="0" borderId="1" xfId="0" applyFont="1" applyBorder="1" applyAlignment="1">
      <alignment horizontal="right" vertical="center" wrapText="1"/>
    </xf>
    <xf numFmtId="0" fontId="22" fillId="0" borderId="1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center"/>
    </xf>
    <xf numFmtId="0" fontId="33" fillId="2" borderId="1" xfId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9" fontId="17" fillId="0" borderId="7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wrapText="1"/>
    </xf>
    <xf numFmtId="0" fontId="17" fillId="0" borderId="3" xfId="0" applyFont="1" applyBorder="1" applyAlignment="1">
      <alignment horizontal="right" vertical="center"/>
    </xf>
    <xf numFmtId="0" fontId="17" fillId="0" borderId="7" xfId="0" applyFont="1" applyBorder="1" applyAlignment="1">
      <alignment horizontal="right" vertical="center"/>
    </xf>
    <xf numFmtId="0" fontId="16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18" fillId="0" borderId="8" xfId="0" applyFont="1" applyBorder="1" applyAlignment="1">
      <alignment horizontal="right" vertical="center" wrapText="1"/>
    </xf>
    <xf numFmtId="9" fontId="9" fillId="0" borderId="2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top" wrapText="1"/>
    </xf>
    <xf numFmtId="0" fontId="41" fillId="2" borderId="0" xfId="1" applyFont="1" applyFill="1" applyBorder="1" applyAlignment="1">
      <alignment horizontal="center" vertical="center" wrapText="1"/>
    </xf>
    <xf numFmtId="0" fontId="33" fillId="2" borderId="0" xfId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top" wrapText="1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3" fillId="2" borderId="4" xfId="1" applyFont="1" applyFill="1" applyBorder="1" applyAlignment="1">
      <alignment horizontal="center" vertical="center" wrapText="1"/>
    </xf>
    <xf numFmtId="1" fontId="36" fillId="0" borderId="1" xfId="0" applyNumberFormat="1" applyFont="1" applyBorder="1" applyAlignment="1">
      <alignment horizontal="center" vertical="center"/>
    </xf>
    <xf numFmtId="9" fontId="17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9" fontId="17" fillId="0" borderId="8" xfId="0" applyNumberFormat="1" applyFont="1" applyBorder="1" applyAlignment="1">
      <alignment horizontal="center" vertical="center"/>
    </xf>
    <xf numFmtId="9" fontId="17" fillId="0" borderId="12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right" vertical="center" wrapText="1"/>
    </xf>
    <xf numFmtId="0" fontId="18" fillId="0" borderId="0" xfId="0" applyFont="1" applyBorder="1" applyAlignment="1">
      <alignment horizontal="right" vertical="center" wrapText="1"/>
    </xf>
    <xf numFmtId="0" fontId="17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9" fontId="36" fillId="0" borderId="1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8" fillId="0" borderId="0" xfId="0" applyFont="1" applyFill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9" fontId="4" fillId="0" borderId="16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9" fontId="25" fillId="4" borderId="10" xfId="0" applyNumberFormat="1" applyFont="1" applyFill="1" applyBorder="1" applyAlignment="1">
      <alignment horizontal="center" vertical="center"/>
    </xf>
    <xf numFmtId="9" fontId="25" fillId="4" borderId="3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Percent" xfId="2" builtinId="5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rgb="FF000000"/>
        </right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4.xml"/><Relationship Id="rId1" Type="http://schemas.microsoft.com/office/2011/relationships/chartStyle" Target="style24.xml"/><Relationship Id="rId4" Type="http://schemas.openxmlformats.org/officeDocument/2006/relationships/chartUserShapes" Target="../drawings/drawing1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('Formato EN BLANCO'!$B$16,'Formato EN BLANCO'!$B$19,'Formato EN BLANCO'!$B$23,'Formato EN BLANCO'!$B$31,'Formato EN BLANCO'!$B$34,'Formato EN BLANCO'!$B$37)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('Formato EN BLANCO'!$H$16,'Formato EN BLANCO'!$H$19,'Formato EN BLANCO'!$H$23,'Formato EN BLANCO'!$H$31,'Formato EN BLANCO'!$H$34,'Formato EN BLANCO'!$H$37)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5-478E-B1A2-79584D568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Eventos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Paretos_Editable!$P$39:$P$44</c15:sqref>
                  </c15:fullRef>
                </c:ext>
              </c:extLst>
              <c:f>Paretos_Editable!$P$39:$P$44</c:f>
              <c:strCache>
                <c:ptCount val="6"/>
                <c:pt idx="0">
                  <c:v>Limpieza</c:v>
                </c:pt>
                <c:pt idx="1">
                  <c:v>Orden</c:v>
                </c:pt>
                <c:pt idx="2">
                  <c:v>Seguridad</c:v>
                </c:pt>
                <c:pt idx="3">
                  <c:v>Estandarizado</c:v>
                </c:pt>
                <c:pt idx="4">
                  <c:v>Clasificado</c:v>
                </c:pt>
                <c:pt idx="5">
                  <c:v>Disciplina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Paretos_Editable!$Q$39:$Q$44</c15:sqref>
                  </c15:fullRef>
                </c:ext>
              </c:extLst>
              <c:f>Paretos_Editable!$Q$39:$Q$44</c:f>
              <c:numCache>
                <c:formatCode>General</c:formatCode>
                <c:ptCount val="6"/>
                <c:pt idx="0">
                  <c:v>32</c:v>
                </c:pt>
                <c:pt idx="1">
                  <c:v>17</c:v>
                </c:pt>
                <c:pt idx="2">
                  <c:v>13</c:v>
                </c:pt>
                <c:pt idx="3">
                  <c:v>10</c:v>
                </c:pt>
                <c:pt idx="4">
                  <c:v>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02-4AB2-AC2C-C4754B8D0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670000"/>
        <c:axId val="195662928"/>
      </c:barChart>
      <c:lineChart>
        <c:grouping val="standard"/>
        <c:varyColors val="0"/>
        <c:ser>
          <c:idx val="1"/>
          <c:order val="1"/>
          <c:tx>
            <c:v>Acomulado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4543647829680115E-2"/>
                  <c:y val="-8.8485738502717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002-4AB2-AC2C-C4754B8D0C8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Paretos_Editable!$P$39:$P$44</c15:sqref>
                  </c15:fullRef>
                </c:ext>
              </c:extLst>
              <c:f>Paretos_Editable!$P$39:$P$44</c:f>
              <c:strCache>
                <c:ptCount val="6"/>
                <c:pt idx="0">
                  <c:v>Limpieza</c:v>
                </c:pt>
                <c:pt idx="1">
                  <c:v>Orden</c:v>
                </c:pt>
                <c:pt idx="2">
                  <c:v>Seguridad</c:v>
                </c:pt>
                <c:pt idx="3">
                  <c:v>Estandarizado</c:v>
                </c:pt>
                <c:pt idx="4">
                  <c:v>Clasificado</c:v>
                </c:pt>
                <c:pt idx="5">
                  <c:v>Disciplina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6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6"/>
                <c:pt idx="0">
                  <c:v>0.36842105263157893</c:v>
                </c:pt>
                <c:pt idx="1">
                  <c:v>0.47368421052631576</c:v>
                </c:pt>
                <c:pt idx="2">
                  <c:v>0.57894736842105265</c:v>
                </c:pt>
                <c:pt idx="3">
                  <c:v>0.73684210526315785</c:v>
                </c:pt>
                <c:pt idx="4">
                  <c:v>0.89473684210526316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02-4AB2-AC2C-C4754B8D0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08848"/>
        <c:axId val="206000128"/>
      </c:lineChart>
      <c:catAx>
        <c:axId val="19567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2928"/>
        <c:crosses val="autoZero"/>
        <c:auto val="1"/>
        <c:lblAlgn val="ctr"/>
        <c:lblOffset val="100"/>
        <c:noMultiLvlLbl val="0"/>
      </c:catAx>
      <c:valAx>
        <c:axId val="195662928"/>
        <c:scaling>
          <c:orientation val="minMax"/>
          <c:max val="4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70000"/>
        <c:crosses val="autoZero"/>
        <c:crossBetween val="between"/>
      </c:valAx>
      <c:valAx>
        <c:axId val="206000128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8848"/>
        <c:crosses val="max"/>
        <c:crossBetween val="between"/>
      </c:valAx>
      <c:catAx>
        <c:axId val="20080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000128"/>
        <c:crosses val="autoZero"/>
        <c:auto val="1"/>
        <c:lblAlgn val="ctr"/>
        <c:lblOffset val="100"/>
        <c:noMultiLvlLbl val="0"/>
      </c:catAx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Causas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2935538483176"/>
          <c:y val="8.4326319399186417E-2"/>
          <c:w val="0.83216080081277555"/>
          <c:h val="0.47877600971235124"/>
        </c:manualLayout>
      </c:layout>
      <c:barChart>
        <c:barDir val="col"/>
        <c:grouping val="clustered"/>
        <c:varyColors val="0"/>
        <c:ser>
          <c:idx val="0"/>
          <c:order val="0"/>
          <c:tx>
            <c:v>Eventos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Paretos_Editable!$R$6:$R$24</c:f>
              <c:strCache>
                <c:ptCount val="19"/>
                <c:pt idx="0">
                  <c:v>Tarimas saliendo de locaciones</c:v>
                </c:pt>
                <c:pt idx="1">
                  <c:v>Pallets encimados</c:v>
                </c:pt>
                <c:pt idx="2">
                  <c:v>Basura en locaciones</c:v>
                </c:pt>
                <c:pt idx="3">
                  <c:v>Salida de Emergencia bloqueada</c:v>
                </c:pt>
                <c:pt idx="4">
                  <c:v>Etiqueta dañada o faltante</c:v>
                </c:pt>
                <c:pt idx="5">
                  <c:v>Todo el personal utiliza su equipo de proteccion personal designado (chaleco, zapatos)</c:v>
                </c:pt>
                <c:pt idx="6">
                  <c:v>Hta se encuentran en las areas designadas</c:v>
                </c:pt>
                <c:pt idx="7">
                  <c:v>fleje o esquineros</c:v>
                </c:pt>
                <c:pt idx="8">
                  <c:v>Hay locaciones con material sin caja, con caja abierta ó expuesto (fuera de bolsa/bolsa rasgada)</c:v>
                </c:pt>
                <c:pt idx="9">
                  <c:v>Hta fuera de lugar </c:v>
                </c:pt>
                <c:pt idx="10">
                  <c:v>Multiples etiquetas de material o sin ella</c:v>
                </c:pt>
                <c:pt idx="11">
                  <c:v>Botes de basura rebasados</c:v>
                </c:pt>
                <c:pt idx="12">
                  <c:v>Objetos bloqueando pasillo</c:v>
                </c:pt>
                <c:pt idx="13">
                  <c:v>Tarimas vacias o recargadas en pasillo</c:v>
                </c:pt>
                <c:pt idx="14">
                  <c:v>Gaylord/caja con ventanas y/o cortes</c:v>
                </c:pt>
                <c:pt idx="15">
                  <c:v>El Pizarron de 5s esta en buen estado y auditoria esta actualizada.</c:v>
                </c:pt>
                <c:pt idx="16">
                  <c:v>El Pizarron de 5s esta en buen estado y auditoria esta actualizada.</c:v>
                </c:pt>
                <c:pt idx="17">
                  <c:v>Locaciones con tarimas o cajas por caer.</c:v>
                </c:pt>
                <c:pt idx="18">
                  <c:v>Material en piso o sin tarima</c:v>
                </c:pt>
              </c:strCache>
            </c:strRef>
          </c:cat>
          <c:val>
            <c:numRef>
              <c:f>Paretos_Editable!$V$39:$V$56</c:f>
              <c:numCache>
                <c:formatCode>General</c:formatCode>
                <c:ptCount val="18"/>
                <c:pt idx="0">
                  <c:v>15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51-41B1-A095-B87BA3814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670000"/>
        <c:axId val="195662928"/>
      </c:barChart>
      <c:lineChart>
        <c:grouping val="standard"/>
        <c:varyColors val="0"/>
        <c:ser>
          <c:idx val="1"/>
          <c:order val="1"/>
          <c:tx>
            <c:v>Porcentaje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Ref>
              <c:f>Paretos_Editable!$X$39:$X$56</c:f>
              <c:numCache>
                <c:formatCode>0.00%</c:formatCode>
                <c:ptCount val="18"/>
                <c:pt idx="0">
                  <c:v>0.18518518518518517</c:v>
                </c:pt>
                <c:pt idx="1">
                  <c:v>0.29629629629629628</c:v>
                </c:pt>
                <c:pt idx="2">
                  <c:v>0.38271604938271603</c:v>
                </c:pt>
                <c:pt idx="3">
                  <c:v>0.46913580246913578</c:v>
                </c:pt>
                <c:pt idx="4">
                  <c:v>0.54320987654320985</c:v>
                </c:pt>
                <c:pt idx="5">
                  <c:v>0.61728395061728392</c:v>
                </c:pt>
                <c:pt idx="6">
                  <c:v>0.67901234567901225</c:v>
                </c:pt>
                <c:pt idx="7">
                  <c:v>0.7407407407407407</c:v>
                </c:pt>
                <c:pt idx="8">
                  <c:v>0.80246913580246915</c:v>
                </c:pt>
                <c:pt idx="9">
                  <c:v>0.85185185185185186</c:v>
                </c:pt>
                <c:pt idx="10">
                  <c:v>0.90123456790123457</c:v>
                </c:pt>
                <c:pt idx="11">
                  <c:v>0.93827160493827155</c:v>
                </c:pt>
                <c:pt idx="12">
                  <c:v>0.96296296296296291</c:v>
                </c:pt>
                <c:pt idx="13">
                  <c:v>0.98765432098765427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51-41B1-A095-B87BA3814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08848"/>
        <c:axId val="206000128"/>
      </c:lineChart>
      <c:catAx>
        <c:axId val="19567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2928"/>
        <c:crosses val="autoZero"/>
        <c:auto val="1"/>
        <c:lblAlgn val="ctr"/>
        <c:lblOffset val="100"/>
        <c:noMultiLvlLbl val="0"/>
      </c:catAx>
      <c:valAx>
        <c:axId val="195662928"/>
        <c:scaling>
          <c:orientation val="minMax"/>
          <c:max val="4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70000"/>
        <c:crosses val="autoZero"/>
        <c:crossBetween val="between"/>
      </c:valAx>
      <c:valAx>
        <c:axId val="206000128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8848"/>
        <c:crosses val="max"/>
        <c:crossBetween val="between"/>
      </c:valAx>
      <c:catAx>
        <c:axId val="20080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000128"/>
        <c:crosses val="autoZero"/>
        <c:auto val="1"/>
        <c:lblAlgn val="ctr"/>
        <c:lblOffset val="100"/>
        <c:noMultiLvlLbl val="0"/>
      </c:catAx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2991069179609"/>
          <c:y val="0.94452875756339605"/>
          <c:w val="0.20228835888681482"/>
          <c:h val="3.4830870844906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('Formato Ejemplo 1'!$B$16,'Formato Ejemplo 1'!$B$19,'Formato Ejemplo 1'!$B$23,'Formato Ejemplo 1'!$B$31,'Formato Ejemplo 1'!$B$34,'Formato Ejemplo 1'!$B$37)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('Formato Ejemplo 1'!$I$16,'Formato Ejemplo 1'!$I$19,'Formato Ejemplo 1'!$I$23,'Formato Ejemplo 1'!$I$31,'Formato Ejemplo 1'!$I$34,'Formato Ejemplo 1'!$I$37)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70-4907-A26E-71DB71FA6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('Formato Ejemplo 1'!$B$16,'Formato Ejemplo 1'!$B$19,'Formato Ejemplo 1'!$B$23,'Formato Ejemplo 1'!$B$31,'Formato Ejemplo 1'!$B$34,'Formato Ejemplo 1'!$B$37)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('Formato Ejemplo 1'!$I$49,'Formato Ejemplo 1'!$I$52,'Formato Ejemplo 1'!$I$56,'Formato Ejemplo 1'!$I$64,'Formato Ejemplo 1'!$I$67,'Formato Ejemplo 1'!$I$70)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0.5</c:v>
                </c:pt>
                <c:pt idx="3">
                  <c:v>0.375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0-4A74-AD4B-A6E88C1BC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Auditorias'!$K$17,'Resultados Auditorias'!$K$20,'Resultados Auditorias'!$K$24,'Resultados Auditorias'!$K$32,'Resultados Auditorias'!$K$35,'Resultados Auditorias'!$K$38)</c:f>
              <c:numCache>
                <c:formatCode>0%</c:formatCode>
                <c:ptCount val="6"/>
                <c:pt idx="0">
                  <c:v>0.875</c:v>
                </c:pt>
                <c:pt idx="1">
                  <c:v>0.33333333333333331</c:v>
                </c:pt>
                <c:pt idx="2">
                  <c:v>0.6428571428571429</c:v>
                </c:pt>
                <c:pt idx="3">
                  <c:v>0.75</c:v>
                </c:pt>
                <c:pt idx="4">
                  <c:v>0.125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6E-4846-85A7-6EA6118C5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Auditorias'!$L$17,'Resultados Auditorias'!$L$20,'Resultados Auditorias'!$L$24,'Resultados Auditorias'!$L$32,'Resultados Auditorias'!$L$35,'Resultados Auditorias'!$L$38)</c:f>
              <c:numCache>
                <c:formatCode>0%</c:formatCode>
                <c:ptCount val="6"/>
                <c:pt idx="0">
                  <c:v>0</c:v>
                </c:pt>
                <c:pt idx="1">
                  <c:v>0.75</c:v>
                </c:pt>
                <c:pt idx="2">
                  <c:v>0.6428571428571429</c:v>
                </c:pt>
                <c:pt idx="3">
                  <c:v>0.375</c:v>
                </c:pt>
                <c:pt idx="4">
                  <c:v>0.125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0C-40FB-9960-DD61C69F1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Auditorias'!$K$17,'Resultados Auditorias'!$K$20,'Resultados Auditorias'!$K$24,'Resultados Auditorias'!$K$32,'Resultados Auditorias'!$K$35,'Resultados Auditorias'!$K$38)</c:f>
              <c:numCache>
                <c:formatCode>0%</c:formatCode>
                <c:ptCount val="6"/>
                <c:pt idx="0">
                  <c:v>0.875</c:v>
                </c:pt>
                <c:pt idx="1">
                  <c:v>0.33333333333333331</c:v>
                </c:pt>
                <c:pt idx="2">
                  <c:v>0.6428571428571429</c:v>
                </c:pt>
                <c:pt idx="3">
                  <c:v>0.75</c:v>
                </c:pt>
                <c:pt idx="4">
                  <c:v>0.125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64-4CC4-A896-81A707FC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Auditorias'!$B$50,'Resultados Auditorias'!$B$53,'Resultados Auditorias'!$B$57,'Resultados Auditorias'!$B$65,'Resultados Auditorias'!$B$68,'Resultados Auditorias'!$B$71)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Auditorias'!$K$50,'Resultados Auditorias'!$K$53,'Resultados Auditorias'!$K$57,'Resultados Auditorias'!$K$65,'Resultados Auditorias'!$K$68,'Resultados Auditorias'!$K$71)</c:f>
              <c:numCache>
                <c:formatCode>0%</c:formatCode>
                <c:ptCount val="6"/>
                <c:pt idx="0">
                  <c:v>0.125</c:v>
                </c:pt>
                <c:pt idx="1">
                  <c:v>0.5</c:v>
                </c:pt>
                <c:pt idx="2">
                  <c:v>0.5</c:v>
                </c:pt>
                <c:pt idx="3">
                  <c:v>0.75</c:v>
                </c:pt>
                <c:pt idx="4">
                  <c:v>0.625</c:v>
                </c:pt>
                <c:pt idx="5">
                  <c:v>0.58333333333333337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A-403A-8426-9F29CE48B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Auditorias'!$B$50,'Resultados Auditorias'!$B$53,'Resultados Auditorias'!$B$57,'Resultados Auditorias'!$B$65,'Resultados Auditorias'!$B$68,'Resultados Auditorias'!$B$71)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Auditorias'!$M$50,'Resultados Auditorias'!$M$53,'Resultados Auditorias'!$M$57,'Resultados Auditorias'!$M$65,'Resultados Auditorias'!$M$68,'Resultados Auditorias'!$M$71)</c:f>
              <c:numCache>
                <c:formatCode>0%</c:formatCode>
                <c:ptCount val="6"/>
                <c:pt idx="0">
                  <c:v>0.3125</c:v>
                </c:pt>
                <c:pt idx="1">
                  <c:v>0.54166666666666674</c:v>
                </c:pt>
                <c:pt idx="2">
                  <c:v>0.4107142857142857</c:v>
                </c:pt>
                <c:pt idx="3">
                  <c:v>0.6875</c:v>
                </c:pt>
                <c:pt idx="4">
                  <c:v>0.6875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F-4565-9362-B31CF99D0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Auditorias'!$B$50,'Resultados Auditorias'!$B$53,'Resultados Auditorias'!$B$57,'Resultados Auditorias'!$B$65,'Resultados Auditorias'!$B$68,'Resultados Auditorias'!$B$71)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Auditorias'!$L$50,'Resultados Auditorias'!$L$53,'Resultados Auditorias'!$L$57,'Resultados Auditorias'!$L$65,'Resultados Auditorias'!$L$68,'Resultados Auditorias'!$L$71)</c:f>
              <c:numCache>
                <c:formatCode>0%</c:formatCode>
                <c:ptCount val="6"/>
                <c:pt idx="0">
                  <c:v>0.5</c:v>
                </c:pt>
                <c:pt idx="1">
                  <c:v>0.58333333333333337</c:v>
                </c:pt>
                <c:pt idx="2">
                  <c:v>0.32142857142857145</c:v>
                </c:pt>
                <c:pt idx="3">
                  <c:v>0.625</c:v>
                </c:pt>
                <c:pt idx="4">
                  <c:v>0.75</c:v>
                </c:pt>
                <c:pt idx="5">
                  <c:v>0.41666666666666669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E43-9543-B213C267B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Categorias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Eventos</c:v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dLbls>
            <c:dLbl>
              <c:idx val="5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5.5559044840748466E-2"/>
                      <c:h val="3.780478401681204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726-49E2-B80D-E0F905B6633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Paretos_Prueba!$B$51:$B$56</c15:sqref>
                  </c15:fullRef>
                </c:ext>
              </c:extLst>
              <c:f>Paretos_Prueba!$B$51:$B$56</c:f>
              <c:strCache>
                <c:ptCount val="6"/>
                <c:pt idx="0">
                  <c:v>Limpiar</c:v>
                </c:pt>
                <c:pt idx="1">
                  <c:v>Ordenar</c:v>
                </c:pt>
                <c:pt idx="2">
                  <c:v>Disciplina</c:v>
                </c:pt>
                <c:pt idx="3">
                  <c:v>Seguridad</c:v>
                </c:pt>
                <c:pt idx="4">
                  <c:v>Estandarizar</c:v>
                </c:pt>
                <c:pt idx="5">
                  <c:v>Clasificar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Paretos_Prueba!$C$51:$C$56</c15:sqref>
                  </c15:fullRef>
                </c:ext>
              </c:extLst>
              <c:f>Paretos_Prueba!$C$51:$C$56</c:f>
              <c:numCache>
                <c:formatCode>General</c:formatCode>
                <c:ptCount val="6"/>
                <c:pt idx="0">
                  <c:v>10</c:v>
                </c:pt>
                <c:pt idx="1">
                  <c:v>8</c:v>
                </c:pt>
                <c:pt idx="2">
                  <c:v>7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6-49E2-B80D-E0F905B66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670000"/>
        <c:axId val="195662928"/>
      </c:barChart>
      <c:lineChart>
        <c:grouping val="standard"/>
        <c:varyColors val="0"/>
        <c:ser>
          <c:idx val="1"/>
          <c:order val="1"/>
          <c:tx>
            <c:v>Acomulado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4543647829680115E-2"/>
                  <c:y val="-8.8485738502717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26-49E2-B80D-E0F905B6633D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Paretos_Prueba!$B$51:$B$56</c15:sqref>
                  </c15:fullRef>
                </c:ext>
              </c:extLst>
              <c:f>Paretos_Prueba!$B$51:$B$56</c:f>
              <c:strCache>
                <c:ptCount val="6"/>
                <c:pt idx="0">
                  <c:v>Limpiar</c:v>
                </c:pt>
                <c:pt idx="1">
                  <c:v>Ordenar</c:v>
                </c:pt>
                <c:pt idx="2">
                  <c:v>Disciplina</c:v>
                </c:pt>
                <c:pt idx="3">
                  <c:v>Seguridad</c:v>
                </c:pt>
                <c:pt idx="4">
                  <c:v>Estandarizar</c:v>
                </c:pt>
                <c:pt idx="5">
                  <c:v>Clasificar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6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6"/>
                <c:pt idx="0">
                  <c:v>0.36842105263157893</c:v>
                </c:pt>
                <c:pt idx="1">
                  <c:v>0.47368421052631576</c:v>
                </c:pt>
                <c:pt idx="2">
                  <c:v>0.57894736842105265</c:v>
                </c:pt>
                <c:pt idx="3">
                  <c:v>0.73684210526315785</c:v>
                </c:pt>
                <c:pt idx="4">
                  <c:v>0.89473684210526316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26-49E2-B80D-E0F905B66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08848"/>
        <c:axId val="206000128"/>
      </c:lineChart>
      <c:catAx>
        <c:axId val="19567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2928"/>
        <c:crosses val="autoZero"/>
        <c:auto val="1"/>
        <c:lblAlgn val="ctr"/>
        <c:lblOffset val="100"/>
        <c:noMultiLvlLbl val="0"/>
      </c:catAx>
      <c:valAx>
        <c:axId val="195662928"/>
        <c:scaling>
          <c:orientation val="minMax"/>
          <c:max val="4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70000"/>
        <c:crosses val="autoZero"/>
        <c:crossBetween val="between"/>
      </c:valAx>
      <c:valAx>
        <c:axId val="206000128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8848"/>
        <c:crosses val="max"/>
        <c:crossBetween val="between"/>
      </c:valAx>
      <c:catAx>
        <c:axId val="20080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000128"/>
        <c:crosses val="autoZero"/>
        <c:auto val="1"/>
        <c:lblAlgn val="ctr"/>
        <c:lblOffset val="100"/>
        <c:noMultiLvlLbl val="0"/>
      </c:catAx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Causas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67909025515441E-2"/>
          <c:y val="8.4326319399186417E-2"/>
          <c:w val="0.90672219586806091"/>
          <c:h val="0.82102245014407449"/>
        </c:manualLayout>
      </c:layout>
      <c:barChart>
        <c:barDir val="col"/>
        <c:grouping val="clustered"/>
        <c:varyColors val="0"/>
        <c:ser>
          <c:idx val="0"/>
          <c:order val="0"/>
          <c:tx>
            <c:v>Eventos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Paretos_Prueba!#REF!</c:f>
            </c:multiLvlStrRef>
          </c:cat>
          <c:val>
            <c:numRef>
              <c:f>Paretos_Prueba!$C$62:$C$79</c:f>
              <c:numCache>
                <c:formatCode>General</c:formatCode>
                <c:ptCount val="18"/>
                <c:pt idx="0">
                  <c:v>7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D-4073-BB4A-8E90271A5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670000"/>
        <c:axId val="195662928"/>
      </c:barChart>
      <c:lineChart>
        <c:grouping val="standard"/>
        <c:varyColors val="0"/>
        <c:ser>
          <c:idx val="1"/>
          <c:order val="1"/>
          <c:tx>
            <c:v>Porcentaje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Ref>
              <c:f>Paretos_Prueba!$E$62:$E$79</c:f>
              <c:numCache>
                <c:formatCode>0.00%</c:formatCode>
                <c:ptCount val="18"/>
                <c:pt idx="0">
                  <c:v>0.23333333333333334</c:v>
                </c:pt>
                <c:pt idx="1">
                  <c:v>0.3666666666666667</c:v>
                </c:pt>
                <c:pt idx="2">
                  <c:v>0.5</c:v>
                </c:pt>
                <c:pt idx="3">
                  <c:v>0.6</c:v>
                </c:pt>
                <c:pt idx="4">
                  <c:v>0.66666666666666663</c:v>
                </c:pt>
                <c:pt idx="5">
                  <c:v>0.73333333333333328</c:v>
                </c:pt>
                <c:pt idx="6">
                  <c:v>0.76666666666666661</c:v>
                </c:pt>
                <c:pt idx="7">
                  <c:v>0.79999999999999993</c:v>
                </c:pt>
                <c:pt idx="8">
                  <c:v>0.83333333333333326</c:v>
                </c:pt>
                <c:pt idx="9">
                  <c:v>0.86666666666666659</c:v>
                </c:pt>
                <c:pt idx="10">
                  <c:v>0.89999999999999991</c:v>
                </c:pt>
                <c:pt idx="11">
                  <c:v>0.93333333333333324</c:v>
                </c:pt>
                <c:pt idx="12">
                  <c:v>0.96666666666666656</c:v>
                </c:pt>
                <c:pt idx="13">
                  <c:v>0.99999999999999989</c:v>
                </c:pt>
                <c:pt idx="14">
                  <c:v>0.99999999999999989</c:v>
                </c:pt>
                <c:pt idx="15">
                  <c:v>0.99999999999999989</c:v>
                </c:pt>
                <c:pt idx="16">
                  <c:v>0.99999999999999989</c:v>
                </c:pt>
                <c:pt idx="17">
                  <c:v>0.99999999999999989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AD-4073-BB4A-8E90271A5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08848"/>
        <c:axId val="206000128"/>
      </c:lineChart>
      <c:catAx>
        <c:axId val="19567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2928"/>
        <c:crosses val="autoZero"/>
        <c:auto val="1"/>
        <c:lblAlgn val="ctr"/>
        <c:lblOffset val="100"/>
        <c:noMultiLvlLbl val="0"/>
      </c:catAx>
      <c:valAx>
        <c:axId val="195662928"/>
        <c:scaling>
          <c:orientation val="minMax"/>
          <c:max val="4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70000"/>
        <c:crosses val="autoZero"/>
        <c:crossBetween val="between"/>
      </c:valAx>
      <c:valAx>
        <c:axId val="206000128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8848"/>
        <c:crosses val="max"/>
        <c:crossBetween val="between"/>
      </c:valAx>
      <c:catAx>
        <c:axId val="20080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000128"/>
        <c:crosses val="autoZero"/>
        <c:auto val="1"/>
        <c:lblAlgn val="ctr"/>
        <c:lblOffset val="100"/>
        <c:noMultiLvlLbl val="0"/>
      </c:catAx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2991069179609"/>
          <c:y val="0.94452875756339605"/>
          <c:w val="0.20228835888681482"/>
          <c:h val="3.4830870844906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Categorias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Eventos</c:v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dLbls>
            <c:dLbl>
              <c:idx val="5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B66A-4985-97F1-0DE3917B801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Paretos_Acomulados!$B$51:$B$56</c15:sqref>
                  </c15:fullRef>
                </c:ext>
              </c:extLst>
              <c:f>Paretos_Acomulados!$B$51:$B$56</c:f>
              <c:strCache>
                <c:ptCount val="6"/>
                <c:pt idx="0">
                  <c:v>Limpiar</c:v>
                </c:pt>
                <c:pt idx="1">
                  <c:v>Seguridad</c:v>
                </c:pt>
                <c:pt idx="2">
                  <c:v>Ordenar</c:v>
                </c:pt>
                <c:pt idx="3">
                  <c:v>Estandarizar</c:v>
                </c:pt>
                <c:pt idx="4">
                  <c:v>Disciplina</c:v>
                </c:pt>
                <c:pt idx="5">
                  <c:v>Clasificar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Paretos_Acomulados!$C$51:$C$56</c15:sqref>
                  </c15:fullRef>
                </c:ext>
              </c:extLst>
              <c:f>Paretos_Acomulados!$C$51:$C$56</c:f>
              <c:numCache>
                <c:formatCode>General</c:formatCode>
                <c:ptCount val="6"/>
                <c:pt idx="0">
                  <c:v>173</c:v>
                </c:pt>
                <c:pt idx="1">
                  <c:v>76</c:v>
                </c:pt>
                <c:pt idx="2">
                  <c:v>75</c:v>
                </c:pt>
                <c:pt idx="3">
                  <c:v>57</c:v>
                </c:pt>
                <c:pt idx="4">
                  <c:v>53</c:v>
                </c:pt>
                <c:pt idx="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6A-4985-97F1-0DE3917B8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670000"/>
        <c:axId val="195662928"/>
      </c:barChart>
      <c:lineChart>
        <c:grouping val="standard"/>
        <c:varyColors val="0"/>
        <c:ser>
          <c:idx val="1"/>
          <c:order val="1"/>
          <c:tx>
            <c:v>Acomulado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4543647829680115E-2"/>
                  <c:y val="-8.8485738502717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B66A-4985-97F1-0DE3917B801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Paretos_Acomulados!$B$51:$B$56</c15:sqref>
                  </c15:fullRef>
                </c:ext>
              </c:extLst>
              <c:f>Paretos_Acomulados!$B$51:$B$56</c:f>
              <c:strCache>
                <c:ptCount val="6"/>
                <c:pt idx="0">
                  <c:v>Limpiar</c:v>
                </c:pt>
                <c:pt idx="1">
                  <c:v>Seguridad</c:v>
                </c:pt>
                <c:pt idx="2">
                  <c:v>Ordenar</c:v>
                </c:pt>
                <c:pt idx="3">
                  <c:v>Estandarizar</c:v>
                </c:pt>
                <c:pt idx="4">
                  <c:v>Disciplina</c:v>
                </c:pt>
                <c:pt idx="5">
                  <c:v>Clasificar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6">
                        <c:v>0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6"/>
                <c:pt idx="0">
                  <c:v>0.36842105263157893</c:v>
                </c:pt>
                <c:pt idx="1">
                  <c:v>0.47368421052631576</c:v>
                </c:pt>
                <c:pt idx="2">
                  <c:v>0.57894736842105265</c:v>
                </c:pt>
                <c:pt idx="3">
                  <c:v>0.73684210526315785</c:v>
                </c:pt>
                <c:pt idx="4">
                  <c:v>0.89473684210526316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6A-4985-97F1-0DE3917B8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08848"/>
        <c:axId val="206000128"/>
      </c:lineChart>
      <c:catAx>
        <c:axId val="19567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2928"/>
        <c:crosses val="autoZero"/>
        <c:auto val="1"/>
        <c:lblAlgn val="ctr"/>
        <c:lblOffset val="100"/>
        <c:noMultiLvlLbl val="0"/>
      </c:catAx>
      <c:valAx>
        <c:axId val="195662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70000"/>
        <c:crosses val="autoZero"/>
        <c:crossBetween val="between"/>
      </c:valAx>
      <c:valAx>
        <c:axId val="206000128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8848"/>
        <c:crosses val="max"/>
        <c:crossBetween val="between"/>
      </c:valAx>
      <c:catAx>
        <c:axId val="20080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000128"/>
        <c:crosses val="autoZero"/>
        <c:auto val="1"/>
        <c:lblAlgn val="ctr"/>
        <c:lblOffset val="100"/>
        <c:noMultiLvlLbl val="0"/>
      </c:catAx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Causas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67909025515441E-2"/>
          <c:y val="8.4326319399186417E-2"/>
          <c:w val="0.90672219586806091"/>
          <c:h val="0.82102245014407449"/>
        </c:manualLayout>
      </c:layout>
      <c:barChart>
        <c:barDir val="col"/>
        <c:grouping val="clustered"/>
        <c:varyColors val="0"/>
        <c:ser>
          <c:idx val="0"/>
          <c:order val="0"/>
          <c:tx>
            <c:v>Eventos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Paretos_Prueba!#REF!</c:f>
            </c:multiLvlStrRef>
          </c:cat>
          <c:val>
            <c:numRef>
              <c:f>Paretos_Acomulados!$C$62:$C$79</c:f>
              <c:numCache>
                <c:formatCode>General</c:formatCode>
                <c:ptCount val="18"/>
                <c:pt idx="0">
                  <c:v>53</c:v>
                </c:pt>
                <c:pt idx="1">
                  <c:v>34</c:v>
                </c:pt>
                <c:pt idx="2">
                  <c:v>32</c:v>
                </c:pt>
                <c:pt idx="3">
                  <c:v>30</c:v>
                </c:pt>
                <c:pt idx="4">
                  <c:v>28</c:v>
                </c:pt>
                <c:pt idx="5">
                  <c:v>27</c:v>
                </c:pt>
                <c:pt idx="6">
                  <c:v>26</c:v>
                </c:pt>
                <c:pt idx="7">
                  <c:v>26</c:v>
                </c:pt>
                <c:pt idx="8">
                  <c:v>25</c:v>
                </c:pt>
                <c:pt idx="9">
                  <c:v>25</c:v>
                </c:pt>
                <c:pt idx="10">
                  <c:v>24</c:v>
                </c:pt>
                <c:pt idx="11">
                  <c:v>24</c:v>
                </c:pt>
                <c:pt idx="12">
                  <c:v>22</c:v>
                </c:pt>
                <c:pt idx="13">
                  <c:v>22</c:v>
                </c:pt>
                <c:pt idx="14">
                  <c:v>21</c:v>
                </c:pt>
                <c:pt idx="15">
                  <c:v>21</c:v>
                </c:pt>
                <c:pt idx="16">
                  <c:v>20</c:v>
                </c:pt>
                <c:pt idx="1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D-435D-AB5F-6A1CE81FF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670000"/>
        <c:axId val="195662928"/>
      </c:barChart>
      <c:lineChart>
        <c:grouping val="standard"/>
        <c:varyColors val="0"/>
        <c:ser>
          <c:idx val="1"/>
          <c:order val="1"/>
          <c:tx>
            <c:v>Porcentaje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Ref>
              <c:f>Paretos_Acomulados!$E$62:$E$79</c:f>
              <c:numCache>
                <c:formatCode>0.00%</c:formatCode>
                <c:ptCount val="18"/>
                <c:pt idx="0">
                  <c:v>0.11041666666666666</c:v>
                </c:pt>
                <c:pt idx="1">
                  <c:v>0.18124999999999999</c:v>
                </c:pt>
                <c:pt idx="2">
                  <c:v>0.24791666666666667</c:v>
                </c:pt>
                <c:pt idx="3">
                  <c:v>0.31041666666666667</c:v>
                </c:pt>
                <c:pt idx="4">
                  <c:v>0.36875000000000002</c:v>
                </c:pt>
                <c:pt idx="5">
                  <c:v>0.42500000000000004</c:v>
                </c:pt>
                <c:pt idx="6">
                  <c:v>0.47916666666666674</c:v>
                </c:pt>
                <c:pt idx="7">
                  <c:v>0.53333333333333344</c:v>
                </c:pt>
                <c:pt idx="8">
                  <c:v>0.58541666666666681</c:v>
                </c:pt>
                <c:pt idx="9">
                  <c:v>0.63750000000000018</c:v>
                </c:pt>
                <c:pt idx="10">
                  <c:v>0.68750000000000022</c:v>
                </c:pt>
                <c:pt idx="11">
                  <c:v>0.73750000000000027</c:v>
                </c:pt>
                <c:pt idx="12">
                  <c:v>0.78333333333333355</c:v>
                </c:pt>
                <c:pt idx="13">
                  <c:v>0.82916666666666683</c:v>
                </c:pt>
                <c:pt idx="14">
                  <c:v>0.87291666666666679</c:v>
                </c:pt>
                <c:pt idx="15">
                  <c:v>0.91666666666666674</c:v>
                </c:pt>
                <c:pt idx="16">
                  <c:v>0.95833333333333337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ED-435D-AB5F-6A1CE81FF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08848"/>
        <c:axId val="206000128"/>
      </c:lineChart>
      <c:catAx>
        <c:axId val="19567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2928"/>
        <c:crosses val="autoZero"/>
        <c:auto val="1"/>
        <c:lblAlgn val="ctr"/>
        <c:lblOffset val="100"/>
        <c:noMultiLvlLbl val="0"/>
      </c:catAx>
      <c:valAx>
        <c:axId val="195662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70000"/>
        <c:crosses val="autoZero"/>
        <c:crossBetween val="between"/>
      </c:valAx>
      <c:valAx>
        <c:axId val="206000128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08848"/>
        <c:crosses val="max"/>
        <c:crossBetween val="between"/>
      </c:valAx>
      <c:catAx>
        <c:axId val="20080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000128"/>
        <c:crosses val="autoZero"/>
        <c:auto val="1"/>
        <c:lblAlgn val="ctr"/>
        <c:lblOffset val="100"/>
        <c:noMultiLvlLbl val="0"/>
      </c:catAx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2991069179609"/>
          <c:y val="0.94452875756339605"/>
          <c:w val="0.20228835888681482"/>
          <c:h val="3.4830870844906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565533073295198"/>
          <c:y val="0.21122840801032713"/>
          <c:w val="0.35142634655412303"/>
          <c:h val="0.6470874254281761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Auditorias'!$K$17,'Resultados Auditorias'!$K$20,'Resultados Auditorias'!$K$24,'Resultados Auditorias'!$K$32,'Resultados Auditorias'!$K$35,'Resultados Auditorias'!$K$38)</c:f>
              <c:numCache>
                <c:formatCode>0%</c:formatCode>
                <c:ptCount val="6"/>
                <c:pt idx="0">
                  <c:v>0.875</c:v>
                </c:pt>
                <c:pt idx="1">
                  <c:v>0.33333333333333331</c:v>
                </c:pt>
                <c:pt idx="2">
                  <c:v>0.6428571428571429</c:v>
                </c:pt>
                <c:pt idx="3">
                  <c:v>0.75</c:v>
                </c:pt>
                <c:pt idx="4">
                  <c:v>0.125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B-4494-8D97-295CB78BA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8711553767409"/>
          <c:y val="0.16541734566070526"/>
          <c:w val="0.35928331195850632"/>
          <c:h val="0.6999433123614994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Auditorias'!$L$17,'Resultados Auditorias'!$L$20,'Resultados Auditorias'!$L$24,'Resultados Auditorias'!$L$32,'Resultados Auditorias'!$L$35,'Resultados Auditorias'!$L$38)</c:f>
              <c:numCache>
                <c:formatCode>0%</c:formatCode>
                <c:ptCount val="6"/>
                <c:pt idx="0">
                  <c:v>0</c:v>
                </c:pt>
                <c:pt idx="1">
                  <c:v>0.75</c:v>
                </c:pt>
                <c:pt idx="2">
                  <c:v>0.6428571428571429</c:v>
                </c:pt>
                <c:pt idx="3">
                  <c:v>0.375</c:v>
                </c:pt>
                <c:pt idx="4">
                  <c:v>0.125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E3-4877-9AAE-3798C5338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565533073295198"/>
          <c:y val="0.21122840801032713"/>
          <c:w val="0.35142634655412303"/>
          <c:h val="0.6470874254281761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Auditorias'!$K$17,'Resultados Auditorias'!$K$20,'Resultados Auditorias'!$K$24,'Resultados Auditorias'!$K$32,'Resultados Auditorias'!$K$35,'Resultados Auditorias'!$K$38)</c:f>
              <c:numCache>
                <c:formatCode>0%</c:formatCode>
                <c:ptCount val="6"/>
                <c:pt idx="0">
                  <c:v>0.875</c:v>
                </c:pt>
                <c:pt idx="1">
                  <c:v>0.33333333333333331</c:v>
                </c:pt>
                <c:pt idx="2">
                  <c:v>0.6428571428571429</c:v>
                </c:pt>
                <c:pt idx="3">
                  <c:v>0.75</c:v>
                </c:pt>
                <c:pt idx="4">
                  <c:v>0.125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9-462B-80D7-082B53535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565533073295198"/>
          <c:y val="0.21122840801032713"/>
          <c:w val="0.35142634655412303"/>
          <c:h val="0.6470874254281761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Auditorias'!$K$17,'Resultados Auditorias'!$K$20,'Resultados Auditorias'!$K$24,'Resultados Auditorias'!$K$32,'Resultados Auditorias'!$K$35,'Resultados Auditorias'!$K$38)</c:f>
              <c:numCache>
                <c:formatCode>0%</c:formatCode>
                <c:ptCount val="6"/>
                <c:pt idx="0">
                  <c:v>0.875</c:v>
                </c:pt>
                <c:pt idx="1">
                  <c:v>0.33333333333333331</c:v>
                </c:pt>
                <c:pt idx="2">
                  <c:v>0.6428571428571429</c:v>
                </c:pt>
                <c:pt idx="3">
                  <c:v>0.75</c:v>
                </c:pt>
                <c:pt idx="4">
                  <c:v>0.125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B-4AED-BADA-BAD4A7A48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8711553767409"/>
          <c:y val="0.16541734566070526"/>
          <c:w val="0.35928331195850632"/>
          <c:h val="0.6999433123614994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Auditorias'!$L$17,'Resultados Auditorias'!$L$20,'Resultados Auditorias'!$L$24,'Resultados Auditorias'!$L$32,'Resultados Auditorias'!$L$35,'Resultados Auditorias'!$L$38)</c:f>
              <c:numCache>
                <c:formatCode>0%</c:formatCode>
                <c:ptCount val="6"/>
                <c:pt idx="0">
                  <c:v>0</c:v>
                </c:pt>
                <c:pt idx="1">
                  <c:v>0.75</c:v>
                </c:pt>
                <c:pt idx="2">
                  <c:v>0.6428571428571429</c:v>
                </c:pt>
                <c:pt idx="3">
                  <c:v>0.375</c:v>
                </c:pt>
                <c:pt idx="4">
                  <c:v>0.125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D-48F2-805A-F5DADFAFC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565533073295198"/>
          <c:y val="0.21122840801032713"/>
          <c:w val="0.35142634655412303"/>
          <c:h val="0.6470874254281761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Auditorias'!$K$17,'Resultados Auditorias'!$K$20,'Resultados Auditorias'!$K$24,'Resultados Auditorias'!$K$32,'Resultados Auditorias'!$K$35,'Resultados Auditorias'!$K$38)</c:f>
              <c:numCache>
                <c:formatCode>0%</c:formatCode>
                <c:ptCount val="6"/>
                <c:pt idx="0">
                  <c:v>0.875</c:v>
                </c:pt>
                <c:pt idx="1">
                  <c:v>0.33333333333333331</c:v>
                </c:pt>
                <c:pt idx="2">
                  <c:v>0.6428571428571429</c:v>
                </c:pt>
                <c:pt idx="3">
                  <c:v>0.75</c:v>
                </c:pt>
                <c:pt idx="4">
                  <c:v>0.125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6-4D90-8312-C30EB581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565533073295198"/>
          <c:y val="0.21122840801032713"/>
          <c:w val="0.35142634655412303"/>
          <c:h val="0.6470874254281761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Auditorias'!$K$17,'Resultados Auditorias'!$K$20,'Resultados Auditorias'!$K$24,'Resultados Auditorias'!$K$32,'Resultados Auditorias'!$K$35,'Resultados Auditorias'!$K$38)</c:f>
              <c:numCache>
                <c:formatCode>0%</c:formatCode>
                <c:ptCount val="6"/>
                <c:pt idx="0">
                  <c:v>0.875</c:v>
                </c:pt>
                <c:pt idx="1">
                  <c:v>0.33333333333333331</c:v>
                </c:pt>
                <c:pt idx="2">
                  <c:v>0.6428571428571429</c:v>
                </c:pt>
                <c:pt idx="3">
                  <c:v>0.75</c:v>
                </c:pt>
                <c:pt idx="4">
                  <c:v>0.125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B-4BD2-BCD1-F0588F64B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8711553767409"/>
          <c:y val="0.16541734566070526"/>
          <c:w val="0.35928331195850632"/>
          <c:h val="0.6999433123614994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Auditorias'!$L$17,'Resultados Auditorias'!$L$20,'Resultados Auditorias'!$L$24,'Resultados Auditorias'!$L$32,'Resultados Auditorias'!$L$35,'Resultados Auditorias'!$L$38)</c:f>
              <c:numCache>
                <c:formatCode>0%</c:formatCode>
                <c:ptCount val="6"/>
                <c:pt idx="0">
                  <c:v>0</c:v>
                </c:pt>
                <c:pt idx="1">
                  <c:v>0.75</c:v>
                </c:pt>
                <c:pt idx="2">
                  <c:v>0.6428571428571429</c:v>
                </c:pt>
                <c:pt idx="3">
                  <c:v>0.375</c:v>
                </c:pt>
                <c:pt idx="4">
                  <c:v>0.125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F-42E6-9D83-CC9C3B427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565533073295198"/>
          <c:y val="0.21122840801032713"/>
          <c:w val="0.35142634655412303"/>
          <c:h val="0.6470874254281761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('Resultados Auditorias'!$B$17,'Resultados Auditorias'!$B$20,'Resultados Auditorias'!$B$24,'Resultados Auditorias'!$B$32,'Resultados Auditorias'!$B$35,'Resultados Auditorias'!$B$38)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('Resultados Auditorias'!$K$17,'Resultados Auditorias'!$K$20,'Resultados Auditorias'!$K$24,'Resultados Auditorias'!$K$32,'Resultados Auditorias'!$K$35,'Resultados Auditorias'!$K$38)</c:f>
              <c:numCache>
                <c:formatCode>0%</c:formatCode>
                <c:ptCount val="6"/>
                <c:pt idx="0">
                  <c:v>0.875</c:v>
                </c:pt>
                <c:pt idx="1">
                  <c:v>0.33333333333333331</c:v>
                </c:pt>
                <c:pt idx="2">
                  <c:v>0.6428571428571429</c:v>
                </c:pt>
                <c:pt idx="3">
                  <c:v>0.75</c:v>
                </c:pt>
                <c:pt idx="4">
                  <c:v>0.125</c:v>
                </c:pt>
                <c:pt idx="5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7C-4A3B-8C87-D952FF65A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/>
              <a:t>RESULTADO</a:t>
            </a:r>
            <a:r>
              <a:rPr lang="es-MX" sz="1600" baseline="0"/>
              <a:t> DE AUDITORIA 5S POR ELEMENTO DE 5S</a:t>
            </a:r>
            <a:endParaRPr lang="es-MX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0307952562856421"/>
                  <c:y val="4.516218990766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D9-4362-9DFC-15CC89AD1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('RESULTADO GENERAL '!$B$15,'RESULTADO GENERAL '!$B$18,'RESULTADO GENERAL '!$B$22,'RESULTADO GENERAL '!$B$30,'RESULTADO GENERAL '!$B$33,'RESULTADO GENERAL '!$B$36)</c:f>
              <c:strCache>
                <c:ptCount val="6"/>
                <c:pt idx="0">
                  <c:v>Clasificar</c:v>
                </c:pt>
                <c:pt idx="1">
                  <c:v>Ordenar</c:v>
                </c:pt>
                <c:pt idx="2">
                  <c:v>Limpiar</c:v>
                </c:pt>
                <c:pt idx="3">
                  <c:v>Estandarizar</c:v>
                </c:pt>
                <c:pt idx="4">
                  <c:v>Disciplina</c:v>
                </c:pt>
                <c:pt idx="5">
                  <c:v>Seguridad</c:v>
                </c:pt>
              </c:strCache>
            </c:strRef>
          </c:cat>
          <c:val>
            <c:numRef>
              <c:f>('RESULTADO GENERAL '!$H$15,'RESULTADO GENERAL '!$H$18,'RESULTADO GENERAL '!$H$22,'RESULTADO GENERAL '!$H$30,'RESULTADO GENERAL '!$H$33,'RESULTADO GENERAL '!$H$36)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9-4362-9DFC-15CC89AD1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311200"/>
        <c:axId val="875310784"/>
      </c:radarChart>
      <c:catAx>
        <c:axId val="87531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0784"/>
        <c:crosses val="autoZero"/>
        <c:auto val="1"/>
        <c:lblAlgn val="ctr"/>
        <c:lblOffset val="100"/>
        <c:noMultiLvlLbl val="0"/>
      </c:catAx>
      <c:valAx>
        <c:axId val="8753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3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image" Target="../media/image2.emf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image" Target="../media/image7.jpeg"/><Relationship Id="rId4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image" Target="../media/image7.jpeg"/><Relationship Id="rId4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image" Target="../media/image7.jpeg"/><Relationship Id="rId4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65173</xdr:colOff>
      <xdr:row>0</xdr:row>
      <xdr:rowOff>63166</xdr:rowOff>
    </xdr:from>
    <xdr:to>
      <xdr:col>1</xdr:col>
      <xdr:colOff>738941</xdr:colOff>
      <xdr:row>1</xdr:row>
      <xdr:rowOff>106829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033" y="63166"/>
          <a:ext cx="673768" cy="5923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748632</xdr:colOff>
      <xdr:row>0</xdr:row>
      <xdr:rowOff>82551</xdr:rowOff>
    </xdr:from>
    <xdr:ext cx="1412677" cy="53065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52492" y="82551"/>
          <a:ext cx="141267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/>
            <a:t>Formato</a:t>
          </a:r>
          <a:r>
            <a:rPr lang="en-US" sz="1400" b="1" baseline="0"/>
            <a:t> </a:t>
          </a:r>
        </a:p>
        <a:p>
          <a:r>
            <a:rPr lang="en-US" sz="1400" b="1" baseline="0"/>
            <a:t>Auditoria 5's</a:t>
          </a:r>
          <a:endParaRPr lang="en-US" sz="1400" b="1"/>
        </a:p>
      </xdr:txBody>
    </xdr:sp>
    <xdr:clientData/>
  </xdr:oneCellAnchor>
  <xdr:oneCellAnchor>
    <xdr:from>
      <xdr:col>0</xdr:col>
      <xdr:colOff>369570</xdr:colOff>
      <xdr:row>44</xdr:row>
      <xdr:rowOff>15240</xdr:rowOff>
    </xdr:from>
    <xdr:ext cx="2011833" cy="436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69570" y="986790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Auditor</a:t>
          </a:r>
          <a:endParaRPr lang="en-US" sz="1100" b="0"/>
        </a:p>
      </xdr:txBody>
    </xdr:sp>
    <xdr:clientData/>
  </xdr:oneCellAnchor>
  <xdr:oneCellAnchor>
    <xdr:from>
      <xdr:col>4</xdr:col>
      <xdr:colOff>519084</xdr:colOff>
      <xdr:row>43</xdr:row>
      <xdr:rowOff>139700</xdr:rowOff>
    </xdr:from>
    <xdr:ext cx="2011833" cy="436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683664" y="946658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Supervisor de Area</a:t>
          </a:r>
          <a:endParaRPr lang="en-US" sz="1100" b="0"/>
        </a:p>
      </xdr:txBody>
    </xdr:sp>
    <xdr:clientData/>
  </xdr:oneCellAnchor>
  <xdr:oneCellAnchor>
    <xdr:from>
      <xdr:col>2</xdr:col>
      <xdr:colOff>515620</xdr:colOff>
      <xdr:row>43</xdr:row>
      <xdr:rowOff>133350</xdr:rowOff>
    </xdr:from>
    <xdr:ext cx="2011833" cy="43678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197860" y="946023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Assistant Manager</a:t>
          </a:r>
          <a:endParaRPr lang="en-US" sz="1100" b="0"/>
        </a:p>
      </xdr:txBody>
    </xdr:sp>
    <xdr:clientData/>
  </xdr:oneCellAnchor>
  <xdr:twoCellAnchor>
    <xdr:from>
      <xdr:col>8</xdr:col>
      <xdr:colOff>332510</xdr:colOff>
      <xdr:row>15</xdr:row>
      <xdr:rowOff>13854</xdr:rowOff>
    </xdr:from>
    <xdr:to>
      <xdr:col>16</xdr:col>
      <xdr:colOff>13855</xdr:colOff>
      <xdr:row>41</xdr:row>
      <xdr:rowOff>471054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563880</xdr:colOff>
          <xdr:row>9</xdr:row>
          <xdr:rowOff>30480</xdr:rowOff>
        </xdr:from>
        <xdr:to>
          <xdr:col>12</xdr:col>
          <xdr:colOff>419100</xdr:colOff>
          <xdr:row>18</xdr:row>
          <xdr:rowOff>22860</xdr:rowOff>
        </xdr:to>
        <xdr:sp macro="" textlink="">
          <xdr:nvSpPr>
            <xdr:cNvPr id="1025" name="btnCaptur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396688</xdr:colOff>
      <xdr:row>1</xdr:row>
      <xdr:rowOff>69029</xdr:rowOff>
    </xdr:from>
    <xdr:to>
      <xdr:col>11</xdr:col>
      <xdr:colOff>145228</xdr:colOff>
      <xdr:row>16</xdr:row>
      <xdr:rowOff>171226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367553</xdr:colOff>
      <xdr:row>17</xdr:row>
      <xdr:rowOff>152400</xdr:rowOff>
    </xdr:from>
    <xdr:to>
      <xdr:col>13</xdr:col>
      <xdr:colOff>617925</xdr:colOff>
      <xdr:row>42</xdr:row>
      <xdr:rowOff>160085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65173</xdr:colOff>
      <xdr:row>0</xdr:row>
      <xdr:rowOff>63166</xdr:rowOff>
    </xdr:from>
    <xdr:to>
      <xdr:col>1</xdr:col>
      <xdr:colOff>738941</xdr:colOff>
      <xdr:row>1</xdr:row>
      <xdr:rowOff>106829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033" y="63166"/>
          <a:ext cx="673768" cy="5923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748632</xdr:colOff>
      <xdr:row>0</xdr:row>
      <xdr:rowOff>82551</xdr:rowOff>
    </xdr:from>
    <xdr:ext cx="1412677" cy="53065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52492" y="82551"/>
          <a:ext cx="141267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/>
            <a:t>Formato</a:t>
          </a:r>
          <a:r>
            <a:rPr lang="en-US" sz="1400" b="1" baseline="0"/>
            <a:t> </a:t>
          </a:r>
        </a:p>
        <a:p>
          <a:r>
            <a:rPr lang="en-US" sz="1400" b="1" baseline="0"/>
            <a:t>Auditoria 5's</a:t>
          </a:r>
          <a:endParaRPr lang="en-US" sz="1400" b="1"/>
        </a:p>
      </xdr:txBody>
    </xdr:sp>
    <xdr:clientData/>
  </xdr:oneCellAnchor>
  <xdr:oneCellAnchor>
    <xdr:from>
      <xdr:col>1</xdr:col>
      <xdr:colOff>57150</xdr:colOff>
      <xdr:row>77</xdr:row>
      <xdr:rowOff>0</xdr:rowOff>
    </xdr:from>
    <xdr:ext cx="2011833" cy="436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61010" y="944118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Auditor</a:t>
          </a:r>
          <a:endParaRPr lang="en-US" sz="1100" b="0"/>
        </a:p>
      </xdr:txBody>
    </xdr:sp>
    <xdr:clientData/>
  </xdr:oneCellAnchor>
  <xdr:oneCellAnchor>
    <xdr:from>
      <xdr:col>5</xdr:col>
      <xdr:colOff>519084</xdr:colOff>
      <xdr:row>77</xdr:row>
      <xdr:rowOff>0</xdr:rowOff>
    </xdr:from>
    <xdr:ext cx="2011833" cy="436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683664" y="946658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Supervisor de Area</a:t>
          </a:r>
          <a:endParaRPr lang="en-US" sz="1100" b="0"/>
        </a:p>
      </xdr:txBody>
    </xdr:sp>
    <xdr:clientData/>
  </xdr:oneCellAnchor>
  <xdr:oneCellAnchor>
    <xdr:from>
      <xdr:col>3</xdr:col>
      <xdr:colOff>515620</xdr:colOff>
      <xdr:row>77</xdr:row>
      <xdr:rowOff>0</xdr:rowOff>
    </xdr:from>
    <xdr:ext cx="2011833" cy="43678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197860" y="946023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Assistant Manager</a:t>
          </a:r>
          <a:endParaRPr lang="en-US" sz="1100" b="0"/>
        </a:p>
      </xdr:txBody>
    </xdr:sp>
    <xdr:clientData/>
  </xdr:oneCellAnchor>
  <xdr:twoCellAnchor>
    <xdr:from>
      <xdr:col>9</xdr:col>
      <xdr:colOff>0</xdr:colOff>
      <xdr:row>15</xdr:row>
      <xdr:rowOff>13854</xdr:rowOff>
    </xdr:from>
    <xdr:to>
      <xdr:col>16</xdr:col>
      <xdr:colOff>290945</xdr:colOff>
      <xdr:row>41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290945</xdr:colOff>
      <xdr:row>72</xdr:row>
      <xdr:rowOff>138546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582704</xdr:colOff>
      <xdr:row>17</xdr:row>
      <xdr:rowOff>134471</xdr:rowOff>
    </xdr:from>
    <xdr:to>
      <xdr:col>13</xdr:col>
      <xdr:colOff>80681</xdr:colOff>
      <xdr:row>19</xdr:row>
      <xdr:rowOff>116541</xdr:rowOff>
    </xdr:to>
    <xdr:sp macro="" textlink="$I$16">
      <xdr:nvSpPr>
        <xdr:cNvPr id="11" name="TextBox 10"/>
        <xdr:cNvSpPr txBox="1"/>
      </xdr:nvSpPr>
      <xdr:spPr>
        <a:xfrm>
          <a:off x="14092516" y="4240306"/>
          <a:ext cx="717177" cy="331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1143E21-E731-41BE-959E-7E1CFDEA08E2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100%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1066798</xdr:colOff>
      <xdr:row>22</xdr:row>
      <xdr:rowOff>170330</xdr:rowOff>
    </xdr:from>
    <xdr:to>
      <xdr:col>10</xdr:col>
      <xdr:colOff>268941</xdr:colOff>
      <xdr:row>24</xdr:row>
      <xdr:rowOff>107577</xdr:rowOff>
    </xdr:to>
    <xdr:sp macro="" textlink="$I$37">
      <xdr:nvSpPr>
        <xdr:cNvPr id="13" name="TextBox 12"/>
        <xdr:cNvSpPr txBox="1"/>
      </xdr:nvSpPr>
      <xdr:spPr>
        <a:xfrm>
          <a:off x="12362327" y="5136777"/>
          <a:ext cx="806826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113BC71-007E-4E4E-9BA6-74FC920F05FF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100%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385480</xdr:colOff>
      <xdr:row>22</xdr:row>
      <xdr:rowOff>89646</xdr:rowOff>
    </xdr:from>
    <xdr:to>
      <xdr:col>15</xdr:col>
      <xdr:colOff>564775</xdr:colOff>
      <xdr:row>24</xdr:row>
      <xdr:rowOff>107576</xdr:rowOff>
    </xdr:to>
    <xdr:sp macro="" textlink="$I$19">
      <xdr:nvSpPr>
        <xdr:cNvPr id="14" name="TextBox 13"/>
        <xdr:cNvSpPr txBox="1"/>
      </xdr:nvSpPr>
      <xdr:spPr>
        <a:xfrm>
          <a:off x="15724092" y="5056093"/>
          <a:ext cx="788895" cy="3854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E2FBC3-D494-4007-A27C-4CA67AD863E0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100%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1013012</xdr:colOff>
      <xdr:row>31</xdr:row>
      <xdr:rowOff>80681</xdr:rowOff>
    </xdr:from>
    <xdr:to>
      <xdr:col>10</xdr:col>
      <xdr:colOff>206189</xdr:colOff>
      <xdr:row>33</xdr:row>
      <xdr:rowOff>8963</xdr:rowOff>
    </xdr:to>
    <xdr:sp macro="" textlink="$I$34">
      <xdr:nvSpPr>
        <xdr:cNvPr id="15" name="TextBox 14"/>
        <xdr:cNvSpPr txBox="1"/>
      </xdr:nvSpPr>
      <xdr:spPr>
        <a:xfrm>
          <a:off x="12308541" y="6642846"/>
          <a:ext cx="797860" cy="2689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BD8A711-08E1-44BE-B9ED-F377DA0AF402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100%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89646</xdr:colOff>
      <xdr:row>38</xdr:row>
      <xdr:rowOff>170329</xdr:rowOff>
    </xdr:from>
    <xdr:to>
      <xdr:col>13</xdr:col>
      <xdr:colOff>448235</xdr:colOff>
      <xdr:row>40</xdr:row>
      <xdr:rowOff>107576</xdr:rowOff>
    </xdr:to>
    <xdr:sp macro="" textlink="$I$31">
      <xdr:nvSpPr>
        <xdr:cNvPr id="16" name="TextBox 15"/>
        <xdr:cNvSpPr txBox="1"/>
      </xdr:nvSpPr>
      <xdr:spPr>
        <a:xfrm>
          <a:off x="14209058" y="8077200"/>
          <a:ext cx="968189" cy="295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A5936B5-DC84-44A1-A72C-9295EFDEEAB4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50%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475129</xdr:colOff>
      <xdr:row>31</xdr:row>
      <xdr:rowOff>125505</xdr:rowOff>
    </xdr:from>
    <xdr:to>
      <xdr:col>16</xdr:col>
      <xdr:colOff>17928</xdr:colOff>
      <xdr:row>33</xdr:row>
      <xdr:rowOff>53788</xdr:rowOff>
    </xdr:to>
    <xdr:sp macro="" textlink="$I$23">
      <xdr:nvSpPr>
        <xdr:cNvPr id="17" name="TextBox 16"/>
        <xdr:cNvSpPr txBox="1"/>
      </xdr:nvSpPr>
      <xdr:spPr>
        <a:xfrm>
          <a:off x="15813741" y="6687670"/>
          <a:ext cx="761999" cy="268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145218B-6F85-4DA5-A436-9AA4748DB42E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50%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179292</xdr:colOff>
      <xdr:row>50</xdr:row>
      <xdr:rowOff>26893</xdr:rowOff>
    </xdr:from>
    <xdr:to>
      <xdr:col>12</xdr:col>
      <xdr:colOff>286869</xdr:colOff>
      <xdr:row>51</xdr:row>
      <xdr:rowOff>179293</xdr:rowOff>
    </xdr:to>
    <xdr:sp macro="" textlink="$I$49">
      <xdr:nvSpPr>
        <xdr:cNvPr id="18" name="TextBox 17"/>
        <xdr:cNvSpPr txBox="1"/>
      </xdr:nvSpPr>
      <xdr:spPr>
        <a:xfrm>
          <a:off x="13689104" y="10551458"/>
          <a:ext cx="717177" cy="331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0FB932C-BE21-4E05-8699-20631A67C766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100%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663386</xdr:colOff>
      <xdr:row>54</xdr:row>
      <xdr:rowOff>152400</xdr:rowOff>
    </xdr:from>
    <xdr:to>
      <xdr:col>9</xdr:col>
      <xdr:colOff>1470212</xdr:colOff>
      <xdr:row>56</xdr:row>
      <xdr:rowOff>44823</xdr:rowOff>
    </xdr:to>
    <xdr:sp macro="" textlink="$I$70">
      <xdr:nvSpPr>
        <xdr:cNvPr id="19" name="TextBox 18"/>
        <xdr:cNvSpPr txBox="1"/>
      </xdr:nvSpPr>
      <xdr:spPr>
        <a:xfrm>
          <a:off x="11958915" y="11447929"/>
          <a:ext cx="806826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7662D45-7992-4087-B112-CD7B1682251C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100%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13</xdr:col>
      <xdr:colOff>591668</xdr:colOff>
      <xdr:row>54</xdr:row>
      <xdr:rowOff>71716</xdr:rowOff>
    </xdr:from>
    <xdr:to>
      <xdr:col>15</xdr:col>
      <xdr:colOff>161363</xdr:colOff>
      <xdr:row>56</xdr:row>
      <xdr:rowOff>44822</xdr:rowOff>
    </xdr:to>
    <xdr:sp macro="" textlink="$I$52">
      <xdr:nvSpPr>
        <xdr:cNvPr id="20" name="TextBox 19"/>
        <xdr:cNvSpPr txBox="1"/>
      </xdr:nvSpPr>
      <xdr:spPr>
        <a:xfrm>
          <a:off x="15320680" y="11367245"/>
          <a:ext cx="788895" cy="3854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4EE13ED-BC21-4064-BA9D-3E016D313D78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100%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609600</xdr:colOff>
      <xdr:row>62</xdr:row>
      <xdr:rowOff>170327</xdr:rowOff>
    </xdr:from>
    <xdr:to>
      <xdr:col>9</xdr:col>
      <xdr:colOff>1407460</xdr:colOff>
      <xdr:row>64</xdr:row>
      <xdr:rowOff>26892</xdr:rowOff>
    </xdr:to>
    <xdr:sp macro="" textlink="$I$67">
      <xdr:nvSpPr>
        <xdr:cNvPr id="21" name="TextBox 20"/>
        <xdr:cNvSpPr txBox="1"/>
      </xdr:nvSpPr>
      <xdr:spPr>
        <a:xfrm>
          <a:off x="11905129" y="12953998"/>
          <a:ext cx="797860" cy="2689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CD0302A-C20C-459D-8928-5038A1C6FF28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100%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295834</xdr:colOff>
      <xdr:row>70</xdr:row>
      <xdr:rowOff>8964</xdr:rowOff>
    </xdr:from>
    <xdr:to>
      <xdr:col>13</xdr:col>
      <xdr:colOff>44823</xdr:colOff>
      <xdr:row>71</xdr:row>
      <xdr:rowOff>125505</xdr:rowOff>
    </xdr:to>
    <xdr:sp macro="" textlink="$I$64">
      <xdr:nvSpPr>
        <xdr:cNvPr id="22" name="TextBox 21"/>
        <xdr:cNvSpPr txBox="1"/>
      </xdr:nvSpPr>
      <xdr:spPr>
        <a:xfrm>
          <a:off x="13805646" y="14388352"/>
          <a:ext cx="968189" cy="295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299892C-0743-47E3-80F2-7B1206371751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38%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71717</xdr:colOff>
      <xdr:row>63</xdr:row>
      <xdr:rowOff>35857</xdr:rowOff>
    </xdr:from>
    <xdr:to>
      <xdr:col>15</xdr:col>
      <xdr:colOff>224116</xdr:colOff>
      <xdr:row>64</xdr:row>
      <xdr:rowOff>71717</xdr:rowOff>
    </xdr:to>
    <xdr:sp macro="" textlink="$I$56">
      <xdr:nvSpPr>
        <xdr:cNvPr id="23" name="TextBox 22"/>
        <xdr:cNvSpPr txBox="1"/>
      </xdr:nvSpPr>
      <xdr:spPr>
        <a:xfrm>
          <a:off x="15410329" y="12998822"/>
          <a:ext cx="761999" cy="268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9ED8177-F0F1-4358-B4B2-E104C56809B1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50%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8</xdr:row>
          <xdr:rowOff>144780</xdr:rowOff>
        </xdr:from>
        <xdr:to>
          <xdr:col>10</xdr:col>
          <xdr:colOff>152400</xdr:colOff>
          <xdr:row>12</xdr:row>
          <xdr:rowOff>22860</xdr:rowOff>
        </xdr:to>
        <xdr:sp macro="" textlink="">
          <xdr:nvSpPr>
            <xdr:cNvPr id="4098" name="btn_Captur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65173</xdr:colOff>
      <xdr:row>0</xdr:row>
      <xdr:rowOff>63166</xdr:rowOff>
    </xdr:from>
    <xdr:to>
      <xdr:col>1</xdr:col>
      <xdr:colOff>738941</xdr:colOff>
      <xdr:row>1</xdr:row>
      <xdr:rowOff>106829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033" y="63166"/>
          <a:ext cx="673768" cy="5923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748632</xdr:colOff>
      <xdr:row>0</xdr:row>
      <xdr:rowOff>82551</xdr:rowOff>
    </xdr:from>
    <xdr:ext cx="1412677" cy="53065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52492" y="82551"/>
          <a:ext cx="141267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/>
            <a:t>Formato</a:t>
          </a:r>
          <a:r>
            <a:rPr lang="en-US" sz="1400" b="1" baseline="0"/>
            <a:t> </a:t>
          </a:r>
        </a:p>
        <a:p>
          <a:r>
            <a:rPr lang="en-US" sz="1400" b="1" baseline="0"/>
            <a:t>Auditoria 5's</a:t>
          </a:r>
          <a:endParaRPr lang="en-US" sz="1400" b="1"/>
        </a:p>
      </xdr:txBody>
    </xdr:sp>
    <xdr:clientData/>
  </xdr:oneCellAnchor>
  <xdr:oneCellAnchor>
    <xdr:from>
      <xdr:col>1</xdr:col>
      <xdr:colOff>57150</xdr:colOff>
      <xdr:row>78</xdr:row>
      <xdr:rowOff>0</xdr:rowOff>
    </xdr:from>
    <xdr:ext cx="2011833" cy="436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61010" y="1674876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Auditor</a:t>
          </a:r>
          <a:endParaRPr lang="en-US" sz="1100" b="0"/>
        </a:p>
      </xdr:txBody>
    </xdr:sp>
    <xdr:clientData/>
  </xdr:oneCellAnchor>
  <xdr:oneCellAnchor>
    <xdr:from>
      <xdr:col>5</xdr:col>
      <xdr:colOff>519084</xdr:colOff>
      <xdr:row>78</xdr:row>
      <xdr:rowOff>0</xdr:rowOff>
    </xdr:from>
    <xdr:ext cx="2011833" cy="436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611524" y="1674876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Supervisor de Area</a:t>
          </a:r>
          <a:endParaRPr lang="en-US" sz="1100" b="0"/>
        </a:p>
      </xdr:txBody>
    </xdr:sp>
    <xdr:clientData/>
  </xdr:oneCellAnchor>
  <xdr:oneCellAnchor>
    <xdr:from>
      <xdr:col>3</xdr:col>
      <xdr:colOff>515620</xdr:colOff>
      <xdr:row>78</xdr:row>
      <xdr:rowOff>0</xdr:rowOff>
    </xdr:from>
    <xdr:ext cx="2011833" cy="43678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118100" y="1674876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Assistant Manager</a:t>
          </a:r>
          <a:endParaRPr lang="en-US" sz="1100" b="0"/>
        </a:p>
      </xdr:txBody>
    </xdr:sp>
    <xdr:clientData/>
  </xdr:oneCellAnchor>
  <xdr:twoCellAnchor>
    <xdr:from>
      <xdr:col>12</xdr:col>
      <xdr:colOff>247650</xdr:colOff>
      <xdr:row>16</xdr:row>
      <xdr:rowOff>27708</xdr:rowOff>
    </xdr:from>
    <xdr:to>
      <xdr:col>21</xdr:col>
      <xdr:colOff>491490</xdr:colOff>
      <xdr:row>42</xdr:row>
      <xdr:rowOff>26323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503857</xdr:colOff>
      <xdr:row>18</xdr:row>
      <xdr:rowOff>117153</xdr:rowOff>
    </xdr:from>
    <xdr:to>
      <xdr:col>20</xdr:col>
      <xdr:colOff>485111</xdr:colOff>
      <xdr:row>41</xdr:row>
      <xdr:rowOff>145676</xdr:rowOff>
    </xdr:to>
    <xdr:grpSp>
      <xdr:nvGrpSpPr>
        <xdr:cNvPr id="22" name="Group 21"/>
        <xdr:cNvGrpSpPr/>
      </xdr:nvGrpSpPr>
      <xdr:grpSpPr>
        <a:xfrm>
          <a:off x="14469239" y="5631262"/>
          <a:ext cx="4248454" cy="4129469"/>
          <a:chOff x="14645884" y="4817308"/>
          <a:chExt cx="4248454" cy="4129468"/>
        </a:xfrm>
      </xdr:grpSpPr>
      <xdr:sp macro="" textlink="$K$17">
        <xdr:nvSpPr>
          <xdr:cNvPr id="9" name="TextBox 8"/>
          <xdr:cNvSpPr txBox="1"/>
        </xdr:nvSpPr>
        <xdr:spPr>
          <a:xfrm>
            <a:off x="16404594" y="4817308"/>
            <a:ext cx="717177" cy="328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1143E21-E731-41BE-959E-7E1CFDEA08E2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88%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38">
        <xdr:nvSpPr>
          <xdr:cNvPr id="10" name="TextBox 9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113BC71-007E-4E4E-9BA6-74FC920F05FF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83%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20">
        <xdr:nvSpPr>
          <xdr:cNvPr id="11" name="TextBox 10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EE2FBC3-D494-4007-A27C-4CA67AD863E0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33%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35">
        <xdr:nvSpPr>
          <xdr:cNvPr id="12" name="TextBox 11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BD8A711-08E1-44BE-B9ED-F377DA0AF402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13%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32">
        <xdr:nvSpPr>
          <xdr:cNvPr id="13" name="TextBox 12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A5936B5-DC84-44A1-A72C-9295EFDEEAB4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75%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24">
        <xdr:nvSpPr>
          <xdr:cNvPr id="14" name="TextBox 13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145218B-6F85-4DA5-A436-9AA4748DB42E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64%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11</xdr:col>
      <xdr:colOff>663386</xdr:colOff>
      <xdr:row>55</xdr:row>
      <xdr:rowOff>152400</xdr:rowOff>
    </xdr:from>
    <xdr:to>
      <xdr:col>11</xdr:col>
      <xdr:colOff>1470212</xdr:colOff>
      <xdr:row>57</xdr:row>
      <xdr:rowOff>44823</xdr:rowOff>
    </xdr:to>
    <xdr:sp macro="" textlink="$K$71">
      <xdr:nvSpPr>
        <xdr:cNvPr id="16" name="TextBox 15"/>
        <xdr:cNvSpPr txBox="1"/>
      </xdr:nvSpPr>
      <xdr:spPr>
        <a:xfrm>
          <a:off x="11963846" y="12054840"/>
          <a:ext cx="806826" cy="3039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7662D45-7992-4087-B112-CD7B1682251C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58%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609600</xdr:colOff>
      <xdr:row>63</xdr:row>
      <xdr:rowOff>170327</xdr:rowOff>
    </xdr:from>
    <xdr:to>
      <xdr:col>11</xdr:col>
      <xdr:colOff>1407460</xdr:colOff>
      <xdr:row>65</xdr:row>
      <xdr:rowOff>26892</xdr:rowOff>
    </xdr:to>
    <xdr:sp macro="" textlink="$K$68">
      <xdr:nvSpPr>
        <xdr:cNvPr id="18" name="TextBox 17"/>
        <xdr:cNvSpPr txBox="1"/>
      </xdr:nvSpPr>
      <xdr:spPr>
        <a:xfrm>
          <a:off x="11910060" y="13581527"/>
          <a:ext cx="797860" cy="2680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CD0302A-C20C-459D-8928-5038A1C6FF28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63%</a:t>
          </a:fld>
          <a:endParaRPr lang="en-US" sz="1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205740</xdr:colOff>
          <xdr:row>9</xdr:row>
          <xdr:rowOff>114300</xdr:rowOff>
        </xdr:from>
        <xdr:to>
          <xdr:col>9</xdr:col>
          <xdr:colOff>822960</xdr:colOff>
          <xdr:row>12</xdr:row>
          <xdr:rowOff>152400</xdr:rowOff>
        </xdr:to>
        <xdr:sp macro="" textlink="">
          <xdr:nvSpPr>
            <xdr:cNvPr id="11265" name="btn_Captura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50916</xdr:colOff>
      <xdr:row>16</xdr:row>
      <xdr:rowOff>38100</xdr:rowOff>
    </xdr:from>
    <xdr:to>
      <xdr:col>31</xdr:col>
      <xdr:colOff>134736</xdr:colOff>
      <xdr:row>42</xdr:row>
      <xdr:rowOff>33251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280555</xdr:colOff>
      <xdr:row>16</xdr:row>
      <xdr:rowOff>24245</xdr:rowOff>
    </xdr:from>
    <xdr:to>
      <xdr:col>40</xdr:col>
      <xdr:colOff>371995</xdr:colOff>
      <xdr:row>42</xdr:row>
      <xdr:rowOff>19396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145370</xdr:colOff>
      <xdr:row>19</xdr:row>
      <xdr:rowOff>8048</xdr:rowOff>
    </xdr:from>
    <xdr:to>
      <xdr:col>30</xdr:col>
      <xdr:colOff>126624</xdr:colOff>
      <xdr:row>41</xdr:row>
      <xdr:rowOff>188971</xdr:rowOff>
    </xdr:to>
    <xdr:grpSp>
      <xdr:nvGrpSpPr>
        <xdr:cNvPr id="35" name="Group 34"/>
        <xdr:cNvGrpSpPr/>
      </xdr:nvGrpSpPr>
      <xdr:grpSpPr>
        <a:xfrm>
          <a:off x="20206752" y="5674557"/>
          <a:ext cx="4248454" cy="4129469"/>
          <a:chOff x="14645884" y="4817308"/>
          <a:chExt cx="4248454" cy="4129468"/>
        </a:xfrm>
      </xdr:grpSpPr>
      <xdr:sp macro="" textlink="$L$17">
        <xdr:nvSpPr>
          <xdr:cNvPr id="36" name="TextBox 35"/>
          <xdr:cNvSpPr txBox="1"/>
        </xdr:nvSpPr>
        <xdr:spPr>
          <a:xfrm>
            <a:off x="16404594" y="4817308"/>
            <a:ext cx="717177" cy="328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B64F585-1E07-4CED-9A63-F4B4D03F2A59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e8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38">
        <xdr:nvSpPr>
          <xdr:cNvPr id="37" name="TextBox 36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A5CAAFA-D595-465D-8BB5-C3E947B81A4B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50%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20">
        <xdr:nvSpPr>
          <xdr:cNvPr id="38" name="TextBox 37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758FCB8-A2A0-4DB2-84A5-6A974B297F28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75%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35">
        <xdr:nvSpPr>
          <xdr:cNvPr id="39" name="TextBox 38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0851D0B-F269-41AA-AADC-E1423AC44E57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13%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32">
        <xdr:nvSpPr>
          <xdr:cNvPr id="40" name="TextBox 39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836025-FEEE-4CDE-BDAF-92E3C7D1EC06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38%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24">
        <xdr:nvSpPr>
          <xdr:cNvPr id="41" name="TextBox 40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9140535-DCBF-46C4-9A03-745F2C6902B8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64%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32</xdr:col>
      <xdr:colOff>372238</xdr:colOff>
      <xdr:row>18</xdr:row>
      <xdr:rowOff>110225</xdr:rowOff>
    </xdr:from>
    <xdr:to>
      <xdr:col>39</xdr:col>
      <xdr:colOff>353492</xdr:colOff>
      <xdr:row>41</xdr:row>
      <xdr:rowOff>138748</xdr:rowOff>
    </xdr:to>
    <xdr:grpSp>
      <xdr:nvGrpSpPr>
        <xdr:cNvPr id="42" name="Group 41"/>
        <xdr:cNvGrpSpPr/>
      </xdr:nvGrpSpPr>
      <xdr:grpSpPr>
        <a:xfrm>
          <a:off x="25920020" y="5624334"/>
          <a:ext cx="4248454" cy="4129469"/>
          <a:chOff x="14645884" y="4817308"/>
          <a:chExt cx="4248454" cy="4129468"/>
        </a:xfrm>
      </xdr:grpSpPr>
      <xdr:sp macro="" textlink="$M$17">
        <xdr:nvSpPr>
          <xdr:cNvPr id="43" name="TextBox 42"/>
          <xdr:cNvSpPr txBox="1"/>
        </xdr:nvSpPr>
        <xdr:spPr>
          <a:xfrm>
            <a:off x="16404594" y="4817308"/>
            <a:ext cx="717177" cy="328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C050D90-85B9-4219-9FF3-9911CD4FB656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44%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M$38">
        <xdr:nvSpPr>
          <xdr:cNvPr id="44" name="TextBox 43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240F13B-4FCE-488A-A6AE-52DCC8CE942E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67%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M$20">
        <xdr:nvSpPr>
          <xdr:cNvPr id="45" name="TextBox 44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1B94B2A-B742-4A7B-9FF2-0061A79EA86D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54%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M$35">
        <xdr:nvSpPr>
          <xdr:cNvPr id="46" name="TextBox 45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E757CEA-6EB3-40BB-A735-75BA2CD76560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13%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M$32">
        <xdr:nvSpPr>
          <xdr:cNvPr id="47" name="TextBox 46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80868E3-EEC9-4ED3-806F-04228539C684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56%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M$24">
        <xdr:nvSpPr>
          <xdr:cNvPr id="48" name="TextBox 47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AEA9B3E-1FD8-4673-BD07-F9CFE80F2913}" type="TxLink"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/>
              <a:t>64%</a:t>
            </a:fld>
            <a:endPara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16</xdr:col>
      <xdr:colOff>0</xdr:colOff>
      <xdr:row>13</xdr:row>
      <xdr:rowOff>0</xdr:rowOff>
    </xdr:from>
    <xdr:to>
      <xdr:col>19</xdr:col>
      <xdr:colOff>332509</xdr:colOff>
      <xdr:row>15</xdr:row>
      <xdr:rowOff>13855</xdr:rowOff>
    </xdr:to>
    <xdr:sp macro="" textlink="">
      <xdr:nvSpPr>
        <xdr:cNvPr id="49" name="TextBox 48"/>
        <xdr:cNvSpPr txBox="1"/>
      </xdr:nvSpPr>
      <xdr:spPr>
        <a:xfrm>
          <a:off x="15780327" y="3837709"/>
          <a:ext cx="2161309" cy="4017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1ra Aditoria</a:t>
          </a:r>
        </a:p>
      </xdr:txBody>
    </xdr:sp>
    <xdr:clientData/>
  </xdr:twoCellAnchor>
  <xdr:twoCellAnchor>
    <xdr:from>
      <xdr:col>24</xdr:col>
      <xdr:colOff>384464</xdr:colOff>
      <xdr:row>13</xdr:row>
      <xdr:rowOff>109104</xdr:rowOff>
    </xdr:from>
    <xdr:to>
      <xdr:col>28</xdr:col>
      <xdr:colOff>107373</xdr:colOff>
      <xdr:row>15</xdr:row>
      <xdr:rowOff>122959</xdr:rowOff>
    </xdr:to>
    <xdr:sp macro="" textlink="">
      <xdr:nvSpPr>
        <xdr:cNvPr id="50" name="TextBox 49"/>
        <xdr:cNvSpPr txBox="1"/>
      </xdr:nvSpPr>
      <xdr:spPr>
        <a:xfrm>
          <a:off x="20764500" y="3946813"/>
          <a:ext cx="2161309" cy="4017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2ra Aditoria</a:t>
          </a:r>
        </a:p>
      </xdr:txBody>
    </xdr:sp>
    <xdr:clientData/>
  </xdr:twoCellAnchor>
  <xdr:twoCellAnchor>
    <xdr:from>
      <xdr:col>33</xdr:col>
      <xdr:colOff>595745</xdr:colOff>
      <xdr:row>13</xdr:row>
      <xdr:rowOff>83126</xdr:rowOff>
    </xdr:from>
    <xdr:to>
      <xdr:col>38</xdr:col>
      <xdr:colOff>429491</xdr:colOff>
      <xdr:row>15</xdr:row>
      <xdr:rowOff>124690</xdr:rowOff>
    </xdr:to>
    <xdr:sp macro="" textlink="">
      <xdr:nvSpPr>
        <xdr:cNvPr id="51" name="TextBox 50"/>
        <xdr:cNvSpPr txBox="1"/>
      </xdr:nvSpPr>
      <xdr:spPr>
        <a:xfrm>
          <a:off x="26462181" y="3920835"/>
          <a:ext cx="2881746" cy="4294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Resultado Aditorias</a:t>
          </a:r>
        </a:p>
      </xdr:txBody>
    </xdr:sp>
    <xdr:clientData/>
  </xdr:twoCellAnchor>
  <xdr:twoCellAnchor>
    <xdr:from>
      <xdr:col>12</xdr:col>
      <xdr:colOff>247650</xdr:colOff>
      <xdr:row>49</xdr:row>
      <xdr:rowOff>57150</xdr:rowOff>
    </xdr:from>
    <xdr:to>
      <xdr:col>21</xdr:col>
      <xdr:colOff>491490</xdr:colOff>
      <xdr:row>72</xdr:row>
      <xdr:rowOff>170065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222366</xdr:colOff>
      <xdr:row>49</xdr:row>
      <xdr:rowOff>67542</xdr:rowOff>
    </xdr:from>
    <xdr:to>
      <xdr:col>41</xdr:col>
      <xdr:colOff>306186</xdr:colOff>
      <xdr:row>72</xdr:row>
      <xdr:rowOff>176993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405246</xdr:colOff>
      <xdr:row>49</xdr:row>
      <xdr:rowOff>67542</xdr:rowOff>
    </xdr:from>
    <xdr:to>
      <xdr:col>31</xdr:col>
      <xdr:colOff>496686</xdr:colOff>
      <xdr:row>72</xdr:row>
      <xdr:rowOff>176993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57150</xdr:colOff>
      <xdr:row>45</xdr:row>
      <xdr:rowOff>152400</xdr:rowOff>
    </xdr:from>
    <xdr:to>
      <xdr:col>19</xdr:col>
      <xdr:colOff>389659</xdr:colOff>
      <xdr:row>47</xdr:row>
      <xdr:rowOff>166255</xdr:rowOff>
    </xdr:to>
    <xdr:sp macro="" textlink="">
      <xdr:nvSpPr>
        <xdr:cNvPr id="58" name="TextBox 57"/>
        <xdr:cNvSpPr txBox="1"/>
      </xdr:nvSpPr>
      <xdr:spPr>
        <a:xfrm>
          <a:off x="15506700" y="10191750"/>
          <a:ext cx="2161309" cy="394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1ra Aditoria</a:t>
          </a:r>
        </a:p>
      </xdr:txBody>
    </xdr:sp>
    <xdr:clientData/>
  </xdr:twoCellAnchor>
  <xdr:twoCellAnchor>
    <xdr:from>
      <xdr:col>34</xdr:col>
      <xdr:colOff>330777</xdr:colOff>
      <xdr:row>46</xdr:row>
      <xdr:rowOff>102178</xdr:rowOff>
    </xdr:from>
    <xdr:to>
      <xdr:col>39</xdr:col>
      <xdr:colOff>164523</xdr:colOff>
      <xdr:row>48</xdr:row>
      <xdr:rowOff>133351</xdr:rowOff>
    </xdr:to>
    <xdr:sp macro="" textlink="">
      <xdr:nvSpPr>
        <xdr:cNvPr id="59" name="TextBox 58"/>
        <xdr:cNvSpPr txBox="1"/>
      </xdr:nvSpPr>
      <xdr:spPr>
        <a:xfrm>
          <a:off x="26806813" y="10243705"/>
          <a:ext cx="2881746" cy="391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Resultado Aditorias</a:t>
          </a:r>
        </a:p>
      </xdr:txBody>
    </xdr:sp>
    <xdr:clientData/>
  </xdr:twoCellAnchor>
  <xdr:twoCellAnchor>
    <xdr:from>
      <xdr:col>25</xdr:col>
      <xdr:colOff>244187</xdr:colOff>
      <xdr:row>46</xdr:row>
      <xdr:rowOff>53687</xdr:rowOff>
    </xdr:from>
    <xdr:to>
      <xdr:col>28</xdr:col>
      <xdr:colOff>576696</xdr:colOff>
      <xdr:row>48</xdr:row>
      <xdr:rowOff>67542</xdr:rowOff>
    </xdr:to>
    <xdr:sp macro="" textlink="">
      <xdr:nvSpPr>
        <xdr:cNvPr id="60" name="TextBox 59"/>
        <xdr:cNvSpPr txBox="1"/>
      </xdr:nvSpPr>
      <xdr:spPr>
        <a:xfrm>
          <a:off x="21233823" y="10195214"/>
          <a:ext cx="2161309" cy="3740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2ra Aditoria</a:t>
          </a:r>
        </a:p>
      </xdr:txBody>
    </xdr:sp>
    <xdr:clientData/>
  </xdr:twoCellAnchor>
  <xdr:twoCellAnchor>
    <xdr:from>
      <xdr:col>33</xdr:col>
      <xdr:colOff>221672</xdr:colOff>
      <xdr:row>50</xdr:row>
      <xdr:rowOff>152400</xdr:rowOff>
    </xdr:from>
    <xdr:to>
      <xdr:col>40</xdr:col>
      <xdr:colOff>202926</xdr:colOff>
      <xdr:row>72</xdr:row>
      <xdr:rowOff>42377</xdr:rowOff>
    </xdr:to>
    <xdr:grpSp>
      <xdr:nvGrpSpPr>
        <xdr:cNvPr id="72" name="Group 71"/>
        <xdr:cNvGrpSpPr/>
      </xdr:nvGrpSpPr>
      <xdr:grpSpPr>
        <a:xfrm>
          <a:off x="26379054" y="11845636"/>
          <a:ext cx="4248454" cy="4129468"/>
          <a:chOff x="0" y="0"/>
          <a:chExt cx="4248454" cy="4129468"/>
        </a:xfrm>
      </xdr:grpSpPr>
      <xdr:sp macro="" textlink="">
        <xdr:nvSpPr>
          <xdr:cNvPr id="73" name="TextBox 8"/>
          <xdr:cNvSpPr txBox="1"/>
        </xdr:nvSpPr>
        <xdr:spPr>
          <a:xfrm>
            <a:off x="1758710" y="0"/>
            <a:ext cx="717177" cy="328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100%</a:t>
            </a:r>
          </a:p>
        </xdr:txBody>
      </xdr:sp>
      <xdr:sp macro="" textlink="">
        <xdr:nvSpPr>
          <xdr:cNvPr id="74" name="TextBox 9"/>
          <xdr:cNvSpPr txBox="1"/>
        </xdr:nvSpPr>
        <xdr:spPr>
          <a:xfrm>
            <a:off x="39932" y="894840"/>
            <a:ext cx="809270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100%</a:t>
            </a:r>
          </a:p>
        </xdr:txBody>
      </xdr:sp>
      <xdr:sp macro="" textlink="">
        <xdr:nvSpPr>
          <xdr:cNvPr id="75" name="TextBox 10"/>
          <xdr:cNvSpPr txBox="1"/>
        </xdr:nvSpPr>
        <xdr:spPr>
          <a:xfrm>
            <a:off x="3459559" y="883429"/>
            <a:ext cx="788895" cy="378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100%</a:t>
            </a:r>
          </a:p>
        </xdr:txBody>
      </xdr:sp>
      <xdr:sp macro="" textlink="">
        <xdr:nvSpPr>
          <xdr:cNvPr id="76" name="TextBox 11"/>
          <xdr:cNvSpPr txBox="1"/>
        </xdr:nvSpPr>
        <xdr:spPr>
          <a:xfrm>
            <a:off x="0" y="2356900"/>
            <a:ext cx="800304" cy="260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100%</a:t>
            </a:r>
          </a:p>
        </xdr:txBody>
      </xdr:sp>
      <xdr:sp macro="" textlink="">
        <xdr:nvSpPr>
          <xdr:cNvPr id="77" name="TextBox 12"/>
          <xdr:cNvSpPr txBox="1"/>
        </xdr:nvSpPr>
        <xdr:spPr>
          <a:xfrm>
            <a:off x="1833689" y="3832003"/>
            <a:ext cx="968189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50%</a:t>
            </a:r>
          </a:p>
        </xdr:txBody>
      </xdr:sp>
      <xdr:sp macro="" textlink="">
        <xdr:nvSpPr>
          <xdr:cNvPr id="78" name="TextBox 13"/>
          <xdr:cNvSpPr txBox="1"/>
        </xdr:nvSpPr>
        <xdr:spPr>
          <a:xfrm>
            <a:off x="3452226" y="2429433"/>
            <a:ext cx="761999" cy="26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50%</a:t>
            </a:r>
          </a:p>
        </xdr:txBody>
      </xdr:sp>
    </xdr:grpSp>
    <xdr:clientData/>
  </xdr:twoCellAnchor>
  <xdr:twoCellAnchor>
    <xdr:from>
      <xdr:col>13</xdr:col>
      <xdr:colOff>471055</xdr:colOff>
      <xdr:row>51</xdr:row>
      <xdr:rowOff>13855</xdr:rowOff>
    </xdr:from>
    <xdr:to>
      <xdr:col>20</xdr:col>
      <xdr:colOff>452309</xdr:colOff>
      <xdr:row>72</xdr:row>
      <xdr:rowOff>83941</xdr:rowOff>
    </xdr:to>
    <xdr:grpSp>
      <xdr:nvGrpSpPr>
        <xdr:cNvPr id="115" name="Group 114"/>
        <xdr:cNvGrpSpPr/>
      </xdr:nvGrpSpPr>
      <xdr:grpSpPr>
        <a:xfrm>
          <a:off x="14436437" y="11887200"/>
          <a:ext cx="4248454" cy="4129468"/>
          <a:chOff x="14645884" y="4817308"/>
          <a:chExt cx="4248454" cy="4129468"/>
        </a:xfrm>
      </xdr:grpSpPr>
      <xdr:sp macro="" textlink="$K$50">
        <xdr:nvSpPr>
          <xdr:cNvPr id="116" name="TextBox 115"/>
          <xdr:cNvSpPr txBox="1"/>
        </xdr:nvSpPr>
        <xdr:spPr>
          <a:xfrm>
            <a:off x="16404594" y="4817308"/>
            <a:ext cx="717177" cy="328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2B96D8-5F7F-47DF-A454-8F88F648A11F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71">
        <xdr:nvSpPr>
          <xdr:cNvPr id="117" name="TextBox 116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3F35E45-D671-4C33-942F-29A2A2811AFB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53">
        <xdr:nvSpPr>
          <xdr:cNvPr id="118" name="TextBox 117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10EE1E-899A-4644-9C85-CCB95D08A464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50%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68">
        <xdr:nvSpPr>
          <xdr:cNvPr id="119" name="TextBox 118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5860081-1CE4-4EE3-866F-9A2AE3020BDE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63%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66">
        <xdr:nvSpPr>
          <xdr:cNvPr id="120" name="TextBox 119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5FA1084-3B8F-45F1-8ACF-479F222FCF59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K$57">
        <xdr:nvSpPr>
          <xdr:cNvPr id="121" name="TextBox 120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573BFA9-6E31-42C5-A27D-B87E8A71791B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50%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16</xdr:col>
      <xdr:colOff>512618</xdr:colOff>
      <xdr:row>71</xdr:row>
      <xdr:rowOff>0</xdr:rowOff>
    </xdr:from>
    <xdr:to>
      <xdr:col>18</xdr:col>
      <xdr:colOff>55417</xdr:colOff>
      <xdr:row>72</xdr:row>
      <xdr:rowOff>80684</xdr:rowOff>
    </xdr:to>
    <xdr:sp macro="" textlink="$K$65">
      <xdr:nvSpPr>
        <xdr:cNvPr id="122" name="TextBox 121"/>
        <xdr:cNvSpPr txBox="1"/>
      </xdr:nvSpPr>
      <xdr:spPr>
        <a:xfrm>
          <a:off x="16015854" y="14976764"/>
          <a:ext cx="761999" cy="260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D2C453-3BAE-41B7-9DD1-B30D22743B07}" type="TxLink">
            <a: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75%</a:t>
          </a:fld>
          <a:endParaRPr lang="en-US" sz="1800" b="1" i="0" u="none" strike="noStrike" noProof="0" smtClean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23</xdr:col>
      <xdr:colOff>595746</xdr:colOff>
      <xdr:row>51</xdr:row>
      <xdr:rowOff>41562</xdr:rowOff>
    </xdr:from>
    <xdr:to>
      <xdr:col>30</xdr:col>
      <xdr:colOff>577000</xdr:colOff>
      <xdr:row>72</xdr:row>
      <xdr:rowOff>111648</xdr:rowOff>
    </xdr:to>
    <xdr:grpSp>
      <xdr:nvGrpSpPr>
        <xdr:cNvPr id="61" name="Group 60"/>
        <xdr:cNvGrpSpPr/>
      </xdr:nvGrpSpPr>
      <xdr:grpSpPr>
        <a:xfrm>
          <a:off x="20657128" y="11914907"/>
          <a:ext cx="4248454" cy="4129468"/>
          <a:chOff x="20213782" y="11139054"/>
          <a:chExt cx="4248454" cy="4129468"/>
        </a:xfrm>
      </xdr:grpSpPr>
      <xdr:sp macro="" textlink="$L$50">
        <xdr:nvSpPr>
          <xdr:cNvPr id="138" name="TextBox 137"/>
          <xdr:cNvSpPr txBox="1"/>
        </xdr:nvSpPr>
        <xdr:spPr>
          <a:xfrm>
            <a:off x="21972492" y="11139054"/>
            <a:ext cx="717177" cy="328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88C8748-D10C-4717-91E7-34D0473B2938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50%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71">
        <xdr:nvSpPr>
          <xdr:cNvPr id="139" name="TextBox 138"/>
          <xdr:cNvSpPr txBox="1"/>
        </xdr:nvSpPr>
        <xdr:spPr>
          <a:xfrm>
            <a:off x="20253714" y="12033894"/>
            <a:ext cx="809270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7D2E37A-6AAC-4CED-9DD0-42136BB74F19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42%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53">
        <xdr:nvSpPr>
          <xdr:cNvPr id="140" name="TextBox 139"/>
          <xdr:cNvSpPr txBox="1"/>
        </xdr:nvSpPr>
        <xdr:spPr>
          <a:xfrm>
            <a:off x="23673341" y="12022483"/>
            <a:ext cx="788895" cy="378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4039F69-66F7-4402-8825-6F10A7101040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68">
        <xdr:nvSpPr>
          <xdr:cNvPr id="141" name="TextBox 140"/>
          <xdr:cNvSpPr txBox="1"/>
        </xdr:nvSpPr>
        <xdr:spPr>
          <a:xfrm>
            <a:off x="20213782" y="13495954"/>
            <a:ext cx="800304" cy="260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3A4DA1E-1BC6-4BE8-BC92-0D00CFD00C56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75%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65">
        <xdr:nvSpPr>
          <xdr:cNvPr id="142" name="TextBox 141"/>
          <xdr:cNvSpPr txBox="1"/>
        </xdr:nvSpPr>
        <xdr:spPr>
          <a:xfrm>
            <a:off x="22047471" y="14971057"/>
            <a:ext cx="968189" cy="297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6830753B-1B7E-46B2-A401-5C1EFD79E86E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63%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$L$57">
        <xdr:nvSpPr>
          <xdr:cNvPr id="143" name="TextBox 142"/>
          <xdr:cNvSpPr txBox="1"/>
        </xdr:nvSpPr>
        <xdr:spPr>
          <a:xfrm>
            <a:off x="23666008" y="13568487"/>
            <a:ext cx="761999" cy="26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864D92-AA53-437A-985E-577982DD8F2B}" type="TxLink">
              <a:rPr lang="en-US" sz="1800" b="1" i="0" u="none" strike="noStrike" noProof="0" smtClean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32%</a:t>
            </a:fld>
            <a:endParaRPr lang="en-US" sz="1800" b="1" i="0" u="none" strike="noStrike" noProof="0" smtClean="0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220980</xdr:colOff>
          <xdr:row>7</xdr:row>
          <xdr:rowOff>15240</xdr:rowOff>
        </xdr:from>
        <xdr:to>
          <xdr:col>16</xdr:col>
          <xdr:colOff>297180</xdr:colOff>
          <xdr:row>8</xdr:row>
          <xdr:rowOff>403860</xdr:rowOff>
        </xdr:to>
        <xdr:sp macro="" textlink="">
          <xdr:nvSpPr>
            <xdr:cNvPr id="11271" name="cmbSemanas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9</xdr:row>
          <xdr:rowOff>160020</xdr:rowOff>
        </xdr:from>
        <xdr:to>
          <xdr:col>15</xdr:col>
          <xdr:colOff>411480</xdr:colOff>
          <xdr:row>12</xdr:row>
          <xdr:rowOff>198120</xdr:rowOff>
        </xdr:to>
        <xdr:sp macro="" textlink="">
          <xdr:nvSpPr>
            <xdr:cNvPr id="11273" name="BtnActualizar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396689</xdr:colOff>
      <xdr:row>1</xdr:row>
      <xdr:rowOff>69029</xdr:rowOff>
    </xdr:from>
    <xdr:to>
      <xdr:col>9</xdr:col>
      <xdr:colOff>197224</xdr:colOff>
      <xdr:row>21</xdr:row>
      <xdr:rowOff>170329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367554</xdr:colOff>
      <xdr:row>22</xdr:row>
      <xdr:rowOff>161365</xdr:rowOff>
    </xdr:from>
    <xdr:to>
      <xdr:col>9</xdr:col>
      <xdr:colOff>251013</xdr:colOff>
      <xdr:row>45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396689</xdr:colOff>
      <xdr:row>1</xdr:row>
      <xdr:rowOff>69029</xdr:rowOff>
    </xdr:from>
    <xdr:to>
      <xdr:col>9</xdr:col>
      <xdr:colOff>197224</xdr:colOff>
      <xdr:row>21</xdr:row>
      <xdr:rowOff>170329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367554</xdr:colOff>
      <xdr:row>22</xdr:row>
      <xdr:rowOff>161365</xdr:rowOff>
    </xdr:from>
    <xdr:to>
      <xdr:col>9</xdr:col>
      <xdr:colOff>251013</xdr:colOff>
      <xdr:row>45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325120</xdr:colOff>
      <xdr:row>1</xdr:row>
      <xdr:rowOff>63500</xdr:rowOff>
    </xdr:from>
    <xdr:to>
      <xdr:col>17</xdr:col>
      <xdr:colOff>351339</xdr:colOff>
      <xdr:row>6</xdr:row>
      <xdr:rowOff>176079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9120" y="246380"/>
          <a:ext cx="1245419" cy="1240339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30</xdr:row>
      <xdr:rowOff>7620</xdr:rowOff>
    </xdr:from>
    <xdr:to>
      <xdr:col>15</xdr:col>
      <xdr:colOff>297180</xdr:colOff>
      <xdr:row>32</xdr:row>
      <xdr:rowOff>144780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2400" y="5707380"/>
          <a:ext cx="9288780" cy="50292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5</xdr:col>
      <xdr:colOff>310097</xdr:colOff>
      <xdr:row>0</xdr:row>
      <xdr:rowOff>99344</xdr:rowOff>
    </xdr:from>
    <xdr:to>
      <xdr:col>8</xdr:col>
      <xdr:colOff>80750</xdr:colOff>
      <xdr:row>3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SpPr/>
      </xdr:nvSpPr>
      <xdr:spPr>
        <a:xfrm>
          <a:off x="3358097" y="99344"/>
          <a:ext cx="1599453" cy="450763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400">
              <a:solidFill>
                <a:srgbClr val="0052CC"/>
              </a:solidFill>
              <a:latin typeface="+mn-lt"/>
              <a:ea typeface="+mn-lt"/>
              <a:cs typeface="+mn-lt"/>
            </a:rPr>
            <a:t>Reporte</a:t>
          </a:r>
        </a:p>
      </xdr:txBody>
    </xdr:sp>
    <xdr:clientData/>
  </xdr:twoCellAnchor>
  <xdr:twoCellAnchor>
    <xdr:from>
      <xdr:col>15</xdr:col>
      <xdr:colOff>91889</xdr:colOff>
      <xdr:row>7</xdr:row>
      <xdr:rowOff>124691</xdr:rowOff>
    </xdr:from>
    <xdr:to>
      <xdr:col>18</xdr:col>
      <xdr:colOff>449</xdr:colOff>
      <xdr:row>32</xdr:row>
      <xdr:rowOff>116541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235889" y="1607127"/>
          <a:ext cx="1737360" cy="4494578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</a:p>
        <a:p>
          <a:pPr algn="ctr"/>
          <a:r>
            <a:rPr lang="en-US" sz="2400">
              <a:solidFill>
                <a:srgbClr val="0052CC"/>
              </a:solidFill>
            </a:rPr>
            <a:t> </a:t>
          </a:r>
          <a:br>
            <a:rPr lang="en-US" sz="2400">
              <a:solidFill>
                <a:srgbClr val="0052CC"/>
              </a:solidFill>
            </a:rPr>
          </a:b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</xdr:col>
      <xdr:colOff>277906</xdr:colOff>
      <xdr:row>30</xdr:row>
      <xdr:rowOff>44823</xdr:rowOff>
    </xdr:from>
    <xdr:to>
      <xdr:col>3</xdr:col>
      <xdr:colOff>112059</xdr:colOff>
      <xdr:row>32</xdr:row>
      <xdr:rowOff>98612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87506" y="5744583"/>
          <a:ext cx="1053353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Dia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7</xdr:col>
      <xdr:colOff>484094</xdr:colOff>
      <xdr:row>30</xdr:row>
      <xdr:rowOff>-1</xdr:rowOff>
    </xdr:from>
    <xdr:to>
      <xdr:col>9</xdr:col>
      <xdr:colOff>537882</xdr:colOff>
      <xdr:row>32</xdr:row>
      <xdr:rowOff>53788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751294" y="5699759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13</xdr:col>
      <xdr:colOff>53788</xdr:colOff>
      <xdr:row>30</xdr:row>
      <xdr:rowOff>25549</xdr:rowOff>
    </xdr:from>
    <xdr:to>
      <xdr:col>15</xdr:col>
      <xdr:colOff>107576</xdr:colOff>
      <xdr:row>32</xdr:row>
      <xdr:rowOff>79338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7978588" y="5725309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Mensual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 editAs="oneCell">
    <xdr:from>
      <xdr:col>33</xdr:col>
      <xdr:colOff>312420</xdr:colOff>
      <xdr:row>1</xdr:row>
      <xdr:rowOff>76200</xdr:rowOff>
    </xdr:from>
    <xdr:to>
      <xdr:col>35</xdr:col>
      <xdr:colOff>338639</xdr:colOff>
      <xdr:row>7</xdr:row>
      <xdr:rowOff>10979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2660" y="259080"/>
          <a:ext cx="1245419" cy="1245419"/>
        </a:xfrm>
        <a:prstGeom prst="rect">
          <a:avLst/>
        </a:prstGeom>
      </xdr:spPr>
    </xdr:pic>
    <xdr:clientData/>
  </xdr:twoCellAnchor>
  <xdr:twoCellAnchor>
    <xdr:from>
      <xdr:col>18</xdr:col>
      <xdr:colOff>52295</xdr:colOff>
      <xdr:row>29</xdr:row>
      <xdr:rowOff>160020</xdr:rowOff>
    </xdr:from>
    <xdr:to>
      <xdr:col>33</xdr:col>
      <xdr:colOff>197075</xdr:colOff>
      <xdr:row>32</xdr:row>
      <xdr:rowOff>119380</xdr:rowOff>
    </xdr:to>
    <xdr:sp macro="" textlink="">
      <xdr:nvSpPr>
        <xdr:cNvPr id="10" name="Rectangle 9"/>
        <xdr:cNvSpPr/>
      </xdr:nvSpPr>
      <xdr:spPr>
        <a:xfrm>
          <a:off x="11025095" y="5676900"/>
          <a:ext cx="10142220" cy="50800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32</xdr:col>
      <xdr:colOff>493671</xdr:colOff>
      <xdr:row>5</xdr:row>
      <xdr:rowOff>83129</xdr:rowOff>
    </xdr:from>
    <xdr:to>
      <xdr:col>35</xdr:col>
      <xdr:colOff>513067</xdr:colOff>
      <xdr:row>32</xdr:row>
      <xdr:rowOff>125507</xdr:rowOff>
    </xdr:to>
    <xdr:sp macro="" textlink="">
      <xdr:nvSpPr>
        <xdr:cNvPr id="11" name="Rectangle 10"/>
        <xdr:cNvSpPr/>
      </xdr:nvSpPr>
      <xdr:spPr>
        <a:xfrm>
          <a:off x="20854311" y="1576649"/>
          <a:ext cx="1848196" cy="4614378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Total de Pickeos Semanal</a:t>
          </a:r>
          <a:br>
            <a:rPr lang="en-US" sz="2400">
              <a:solidFill>
                <a:srgbClr val="0052CC"/>
              </a:solidFill>
            </a:rPr>
          </a:br>
          <a:r>
            <a:rPr lang="en-US" sz="2400">
              <a:solidFill>
                <a:srgbClr val="0052CC"/>
              </a:solidFill>
            </a:rPr>
            <a:t> 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19</xdr:col>
      <xdr:colOff>227106</xdr:colOff>
      <xdr:row>30</xdr:row>
      <xdr:rowOff>44823</xdr:rowOff>
    </xdr:from>
    <xdr:to>
      <xdr:col>21</xdr:col>
      <xdr:colOff>307788</xdr:colOff>
      <xdr:row>32</xdr:row>
      <xdr:rowOff>98612</xdr:rowOff>
    </xdr:to>
    <xdr:sp macro="" textlink="">
      <xdr:nvSpPr>
        <xdr:cNvPr id="12" name="Rectangle 11"/>
        <xdr:cNvSpPr/>
      </xdr:nvSpPr>
      <xdr:spPr>
        <a:xfrm>
          <a:off x="11809506" y="5744583"/>
          <a:ext cx="1299882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SAMPLE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26</xdr:col>
      <xdr:colOff>226359</xdr:colOff>
      <xdr:row>30</xdr:row>
      <xdr:rowOff>73958</xdr:rowOff>
    </xdr:from>
    <xdr:to>
      <xdr:col>28</xdr:col>
      <xdr:colOff>280147</xdr:colOff>
      <xdr:row>32</xdr:row>
      <xdr:rowOff>127747</xdr:rowOff>
    </xdr:to>
    <xdr:sp macro="" textlink="">
      <xdr:nvSpPr>
        <xdr:cNvPr id="13" name="Rectangle 12"/>
        <xdr:cNvSpPr/>
      </xdr:nvSpPr>
      <xdr:spPr>
        <a:xfrm>
          <a:off x="16075959" y="5773718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BRANCH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29</xdr:col>
      <xdr:colOff>414618</xdr:colOff>
      <xdr:row>30</xdr:row>
      <xdr:rowOff>52443</xdr:rowOff>
    </xdr:from>
    <xdr:to>
      <xdr:col>31</xdr:col>
      <xdr:colOff>468406</xdr:colOff>
      <xdr:row>32</xdr:row>
      <xdr:rowOff>106232</xdr:rowOff>
    </xdr:to>
    <xdr:sp macro="" textlink="">
      <xdr:nvSpPr>
        <xdr:cNvPr id="14" name="Rectangle 13"/>
        <xdr:cNvSpPr/>
      </xdr:nvSpPr>
      <xdr:spPr>
        <a:xfrm>
          <a:off x="18093018" y="5752203"/>
          <a:ext cx="144824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DMI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22</xdr:col>
      <xdr:colOff>431053</xdr:colOff>
      <xdr:row>30</xdr:row>
      <xdr:rowOff>70223</xdr:rowOff>
    </xdr:from>
    <xdr:to>
      <xdr:col>25</xdr:col>
      <xdr:colOff>72465</xdr:colOff>
      <xdr:row>32</xdr:row>
      <xdr:rowOff>124012</xdr:rowOff>
    </xdr:to>
    <xdr:sp macro="" textlink="">
      <xdr:nvSpPr>
        <xdr:cNvPr id="15" name="Rectangle 14"/>
        <xdr:cNvSpPr/>
      </xdr:nvSpPr>
      <xdr:spPr>
        <a:xfrm>
          <a:off x="13842253" y="5769983"/>
          <a:ext cx="1470212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BILL ONLY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23</xdr:col>
      <xdr:colOff>229822</xdr:colOff>
      <xdr:row>0</xdr:row>
      <xdr:rowOff>85572</xdr:rowOff>
    </xdr:from>
    <xdr:to>
      <xdr:col>26</xdr:col>
      <xdr:colOff>81008</xdr:colOff>
      <xdr:row>2</xdr:row>
      <xdr:rowOff>152399</xdr:rowOff>
    </xdr:to>
    <xdr:sp macro="" textlink="">
      <xdr:nvSpPr>
        <xdr:cNvPr id="16" name="Rectangle 15"/>
        <xdr:cNvSpPr/>
      </xdr:nvSpPr>
      <xdr:spPr>
        <a:xfrm>
          <a:off x="14250622" y="85572"/>
          <a:ext cx="1679986" cy="427045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Reporte</a:t>
          </a:r>
          <a:br>
            <a:rPr lang="en-US" sz="2400">
              <a:solidFill>
                <a:srgbClr val="0052CC"/>
              </a:solidFill>
            </a:rPr>
          </a:br>
          <a:r>
            <a:rPr lang="en-US" sz="2400">
              <a:solidFill>
                <a:srgbClr val="0052CC"/>
              </a:solidFill>
            </a:rPr>
            <a:t> 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15</xdr:col>
      <xdr:colOff>317841</xdr:colOff>
      <xdr:row>13</xdr:row>
      <xdr:rowOff>133654</xdr:rowOff>
    </xdr:from>
    <xdr:to>
      <xdr:col>17</xdr:col>
      <xdr:colOff>434382</xdr:colOff>
      <xdr:row>22</xdr:row>
      <xdr:rowOff>35043</xdr:rowOff>
    </xdr:to>
    <xdr:sp macro="" textlink="">
      <xdr:nvSpPr>
        <xdr:cNvPr id="19" name="TextBox 18"/>
        <xdr:cNvSpPr txBox="1"/>
      </xdr:nvSpPr>
      <xdr:spPr>
        <a:xfrm>
          <a:off x="9461841" y="3090214"/>
          <a:ext cx="1335741" cy="1547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 b="1" i="0" u="none" strike="noStrike">
              <a:solidFill>
                <a:srgbClr val="0052CC"/>
              </a:solidFill>
              <a:latin typeface="+mn-lt"/>
              <a:cs typeface="Calibri"/>
            </a:rPr>
            <a:t>30</a:t>
          </a:r>
        </a:p>
      </xdr:txBody>
    </xdr:sp>
    <xdr:clientData/>
  </xdr:twoCellAnchor>
  <xdr:twoCellAnchor>
    <xdr:from>
      <xdr:col>33</xdr:col>
      <xdr:colOff>188871</xdr:colOff>
      <xdr:row>14</xdr:row>
      <xdr:rowOff>41565</xdr:rowOff>
    </xdr:from>
    <xdr:to>
      <xdr:col>35</xdr:col>
      <xdr:colOff>305412</xdr:colOff>
      <xdr:row>22</xdr:row>
      <xdr:rowOff>123063</xdr:rowOff>
    </xdr:to>
    <xdr:sp macro="" textlink="[2]Pickeos!$F$8">
      <xdr:nvSpPr>
        <xdr:cNvPr id="20" name="TextBox 19"/>
        <xdr:cNvSpPr txBox="1"/>
      </xdr:nvSpPr>
      <xdr:spPr>
        <a:xfrm>
          <a:off x="21159111" y="3181005"/>
          <a:ext cx="1335741" cy="15445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FF76CD-BF05-4F05-ADE4-019B2925FF44}" type="TxLink">
            <a:rPr lang="en-US" sz="6000" b="1" i="0" u="none" strike="noStrike">
              <a:solidFill>
                <a:srgbClr val="0052CC"/>
              </a:solidFill>
              <a:latin typeface="Calibri"/>
              <a:cs typeface="Calibri"/>
            </a:rPr>
            <a:pPr algn="ctr"/>
            <a:t>303</a:t>
          </a:fld>
          <a:endParaRPr lang="en-US" sz="49600" b="1">
            <a:solidFill>
              <a:srgbClr val="0052CC"/>
            </a:solidFill>
          </a:endParaRPr>
        </a:p>
      </xdr:txBody>
    </xdr:sp>
    <xdr:clientData/>
  </xdr:twoCellAnchor>
  <xdr:twoCellAnchor>
    <xdr:from>
      <xdr:col>0</xdr:col>
      <xdr:colOff>471055</xdr:colOff>
      <xdr:row>4</xdr:row>
      <xdr:rowOff>0</xdr:rowOff>
    </xdr:from>
    <xdr:to>
      <xdr:col>14</xdr:col>
      <xdr:colOff>457200</xdr:colOff>
      <xdr:row>29</xdr:row>
      <xdr:rowOff>124691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581891</xdr:colOff>
      <xdr:row>5</xdr:row>
      <xdr:rowOff>124691</xdr:rowOff>
    </xdr:from>
    <xdr:to>
      <xdr:col>10</xdr:col>
      <xdr:colOff>563145</xdr:colOff>
      <xdr:row>28</xdr:row>
      <xdr:rowOff>163605</xdr:rowOff>
    </xdr:to>
    <xdr:grpSp>
      <xdr:nvGrpSpPr>
        <xdr:cNvPr id="30" name="Group 29"/>
        <xdr:cNvGrpSpPr/>
      </xdr:nvGrpSpPr>
      <xdr:grpSpPr>
        <a:xfrm>
          <a:off x="2410691" y="1252451"/>
          <a:ext cx="4248454" cy="4245154"/>
          <a:chOff x="14645884" y="4817308"/>
          <a:chExt cx="4248454" cy="4129468"/>
        </a:xfrm>
      </xdr:grpSpPr>
      <xdr:sp macro="" textlink="$K$16">
        <xdr:nvSpPr>
          <xdr:cNvPr id="31" name="TextBox 30"/>
          <xdr:cNvSpPr txBox="1"/>
        </xdr:nvSpPr>
        <xdr:spPr>
          <a:xfrm>
            <a:off x="16404594" y="4817308"/>
            <a:ext cx="717177" cy="3284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1143E21-E731-41BE-959E-7E1CFDEA08E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7">
        <xdr:nvSpPr>
          <xdr:cNvPr id="32" name="TextBox 31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113BC71-007E-4E4E-9BA6-74FC920F05FF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19">
        <xdr:nvSpPr>
          <xdr:cNvPr id="33" name="TextBox 32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EE2FBC3-D494-4007-A27C-4CA67AD863E0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4">
        <xdr:nvSpPr>
          <xdr:cNvPr id="34" name="TextBox 33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BD8A711-08E1-44BE-B9ED-F377DA0AF40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1">
        <xdr:nvSpPr>
          <xdr:cNvPr id="35" name="TextBox 34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5936B5-DC84-44A1-A72C-9295EFDEEAB4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23">
        <xdr:nvSpPr>
          <xdr:cNvPr id="36" name="TextBox 35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145218B-6F85-4DA5-A436-9AA4748DB42E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18</xdr:col>
      <xdr:colOff>540326</xdr:colOff>
      <xdr:row>4</xdr:row>
      <xdr:rowOff>0</xdr:rowOff>
    </xdr:from>
    <xdr:to>
      <xdr:col>32</xdr:col>
      <xdr:colOff>415635</xdr:colOff>
      <xdr:row>30</xdr:row>
      <xdr:rowOff>74815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482152</xdr:colOff>
      <xdr:row>7</xdr:row>
      <xdr:rowOff>35757</xdr:rowOff>
    </xdr:from>
    <xdr:to>
      <xdr:col>31</xdr:col>
      <xdr:colOff>665752</xdr:colOff>
      <xdr:row>29</xdr:row>
      <xdr:rowOff>143944</xdr:rowOff>
    </xdr:to>
    <xdr:grpSp>
      <xdr:nvGrpSpPr>
        <xdr:cNvPr id="46" name="Group 45"/>
        <xdr:cNvGrpSpPr/>
      </xdr:nvGrpSpPr>
      <xdr:grpSpPr>
        <a:xfrm>
          <a:off x="12674152" y="1529277"/>
          <a:ext cx="7072080" cy="4131547"/>
          <a:chOff x="14645884" y="4926767"/>
          <a:chExt cx="4248454" cy="4020009"/>
        </a:xfrm>
      </xdr:grpSpPr>
      <xdr:sp macro="" textlink="$L$16">
        <xdr:nvSpPr>
          <xdr:cNvPr id="47" name="TextBox 46"/>
          <xdr:cNvSpPr txBox="1"/>
        </xdr:nvSpPr>
        <xdr:spPr>
          <a:xfrm>
            <a:off x="16912491" y="4926767"/>
            <a:ext cx="717177" cy="3284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B64F585-1E07-4CED-9A63-F4B4D03F2A59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37">
        <xdr:nvSpPr>
          <xdr:cNvPr id="48" name="TextBox 47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A5CAAFA-D595-465D-8BB5-C3E947B81A4B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19">
        <xdr:nvSpPr>
          <xdr:cNvPr id="49" name="TextBox 48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758FCB8-A2A0-4DB2-84A5-6A974B297F28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34">
        <xdr:nvSpPr>
          <xdr:cNvPr id="50" name="TextBox 49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851D0B-F269-41AA-AADC-E1423AC44E57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31">
        <xdr:nvSpPr>
          <xdr:cNvPr id="51" name="TextBox 50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3836025-FEEE-4CDE-BDAF-92E3C7D1EC06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23">
        <xdr:nvSpPr>
          <xdr:cNvPr id="52" name="TextBox 51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9140535-DCBF-46C4-9A03-745F2C6902B8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</xdr:grpSp>
    <xdr:clientData/>
  </xdr:twoCellAnchor>
  <xdr:oneCellAnchor>
    <xdr:from>
      <xdr:col>15</xdr:col>
      <xdr:colOff>325120</xdr:colOff>
      <xdr:row>35</xdr:row>
      <xdr:rowOff>63500</xdr:rowOff>
    </xdr:from>
    <xdr:ext cx="1245419" cy="1234797"/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9120" y="243609"/>
          <a:ext cx="1245419" cy="1234797"/>
        </a:xfrm>
        <a:prstGeom prst="rect">
          <a:avLst/>
        </a:prstGeom>
      </xdr:spPr>
    </xdr:pic>
    <xdr:clientData/>
  </xdr:oneCellAnchor>
  <xdr:twoCellAnchor>
    <xdr:from>
      <xdr:col>0</xdr:col>
      <xdr:colOff>152400</xdr:colOff>
      <xdr:row>64</xdr:row>
      <xdr:rowOff>7620</xdr:rowOff>
    </xdr:from>
    <xdr:to>
      <xdr:col>15</xdr:col>
      <xdr:colOff>297180</xdr:colOff>
      <xdr:row>66</xdr:row>
      <xdr:rowOff>144780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2400" y="5632565"/>
          <a:ext cx="9288780" cy="49737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5</xdr:col>
      <xdr:colOff>310097</xdr:colOff>
      <xdr:row>34</xdr:row>
      <xdr:rowOff>99344</xdr:rowOff>
    </xdr:from>
    <xdr:to>
      <xdr:col>8</xdr:col>
      <xdr:colOff>80750</xdr:colOff>
      <xdr:row>37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SpPr/>
      </xdr:nvSpPr>
      <xdr:spPr>
        <a:xfrm>
          <a:off x="3358097" y="99344"/>
          <a:ext cx="1599453" cy="440983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400">
              <a:solidFill>
                <a:srgbClr val="0052CC"/>
              </a:solidFill>
              <a:latin typeface="+mn-lt"/>
              <a:ea typeface="+mn-lt"/>
              <a:cs typeface="+mn-lt"/>
            </a:rPr>
            <a:t>Reporte</a:t>
          </a:r>
        </a:p>
      </xdr:txBody>
    </xdr:sp>
    <xdr:clientData/>
  </xdr:twoCellAnchor>
  <xdr:twoCellAnchor>
    <xdr:from>
      <xdr:col>15</xdr:col>
      <xdr:colOff>91889</xdr:colOff>
      <xdr:row>41</xdr:row>
      <xdr:rowOff>124691</xdr:rowOff>
    </xdr:from>
    <xdr:to>
      <xdr:col>18</xdr:col>
      <xdr:colOff>449</xdr:colOff>
      <xdr:row>66</xdr:row>
      <xdr:rowOff>116541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235889" y="1607127"/>
          <a:ext cx="1737360" cy="4494578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</a:p>
        <a:p>
          <a:pPr algn="ctr"/>
          <a:r>
            <a:rPr lang="en-US" sz="2400">
              <a:solidFill>
                <a:srgbClr val="0052CC"/>
              </a:solidFill>
            </a:rPr>
            <a:t> </a:t>
          </a:r>
          <a:br>
            <a:rPr lang="en-US" sz="2400">
              <a:solidFill>
                <a:srgbClr val="0052CC"/>
              </a:solidFill>
            </a:rPr>
          </a:b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</xdr:col>
      <xdr:colOff>277906</xdr:colOff>
      <xdr:row>64</xdr:row>
      <xdr:rowOff>44823</xdr:rowOff>
    </xdr:from>
    <xdr:to>
      <xdr:col>3</xdr:col>
      <xdr:colOff>112059</xdr:colOff>
      <xdr:row>66</xdr:row>
      <xdr:rowOff>98612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87506" y="5669768"/>
          <a:ext cx="1053353" cy="414008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Dia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7</xdr:col>
      <xdr:colOff>484094</xdr:colOff>
      <xdr:row>64</xdr:row>
      <xdr:rowOff>-1</xdr:rowOff>
    </xdr:from>
    <xdr:to>
      <xdr:col>9</xdr:col>
      <xdr:colOff>537882</xdr:colOff>
      <xdr:row>66</xdr:row>
      <xdr:rowOff>53788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751294" y="5624944"/>
          <a:ext cx="1272988" cy="414008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13</xdr:col>
      <xdr:colOff>53788</xdr:colOff>
      <xdr:row>64</xdr:row>
      <xdr:rowOff>25549</xdr:rowOff>
    </xdr:from>
    <xdr:to>
      <xdr:col>15</xdr:col>
      <xdr:colOff>107576</xdr:colOff>
      <xdr:row>66</xdr:row>
      <xdr:rowOff>79338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7978588" y="5650494"/>
          <a:ext cx="1272988" cy="414008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Mensual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15</xdr:col>
      <xdr:colOff>317841</xdr:colOff>
      <xdr:row>47</xdr:row>
      <xdr:rowOff>133654</xdr:rowOff>
    </xdr:from>
    <xdr:to>
      <xdr:col>17</xdr:col>
      <xdr:colOff>434382</xdr:colOff>
      <xdr:row>56</xdr:row>
      <xdr:rowOff>35043</xdr:rowOff>
    </xdr:to>
    <xdr:sp macro="" textlink="">
      <xdr:nvSpPr>
        <xdr:cNvPr id="76" name="TextBox 75"/>
        <xdr:cNvSpPr txBox="1"/>
      </xdr:nvSpPr>
      <xdr:spPr>
        <a:xfrm>
          <a:off x="9461841" y="2696745"/>
          <a:ext cx="1335741" cy="15223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 b="1" i="0" u="none" strike="noStrike">
              <a:solidFill>
                <a:srgbClr val="0052CC"/>
              </a:solidFill>
              <a:latin typeface="+mn-lt"/>
              <a:cs typeface="Calibri"/>
            </a:rPr>
            <a:t>30</a:t>
          </a:r>
        </a:p>
      </xdr:txBody>
    </xdr:sp>
    <xdr:clientData/>
  </xdr:twoCellAnchor>
  <xdr:twoCellAnchor>
    <xdr:from>
      <xdr:col>0</xdr:col>
      <xdr:colOff>471055</xdr:colOff>
      <xdr:row>38</xdr:row>
      <xdr:rowOff>0</xdr:rowOff>
    </xdr:from>
    <xdr:to>
      <xdr:col>14</xdr:col>
      <xdr:colOff>457200</xdr:colOff>
      <xdr:row>63</xdr:row>
      <xdr:rowOff>124691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581891</xdr:colOff>
      <xdr:row>39</xdr:row>
      <xdr:rowOff>124691</xdr:rowOff>
    </xdr:from>
    <xdr:to>
      <xdr:col>10</xdr:col>
      <xdr:colOff>563145</xdr:colOff>
      <xdr:row>62</xdr:row>
      <xdr:rowOff>163605</xdr:rowOff>
    </xdr:to>
    <xdr:grpSp>
      <xdr:nvGrpSpPr>
        <xdr:cNvPr id="78" name="Group 77"/>
        <xdr:cNvGrpSpPr/>
      </xdr:nvGrpSpPr>
      <xdr:grpSpPr>
        <a:xfrm>
          <a:off x="2410691" y="7683731"/>
          <a:ext cx="4248454" cy="4245154"/>
          <a:chOff x="14645884" y="4817308"/>
          <a:chExt cx="4248454" cy="4129468"/>
        </a:xfrm>
      </xdr:grpSpPr>
      <xdr:sp macro="" textlink="$K$16">
        <xdr:nvSpPr>
          <xdr:cNvPr id="79" name="TextBox 78"/>
          <xdr:cNvSpPr txBox="1"/>
        </xdr:nvSpPr>
        <xdr:spPr>
          <a:xfrm>
            <a:off x="16404594" y="4817308"/>
            <a:ext cx="717177" cy="3284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1143E21-E731-41BE-959E-7E1CFDEA08E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7">
        <xdr:nvSpPr>
          <xdr:cNvPr id="80" name="TextBox 79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113BC71-007E-4E4E-9BA6-74FC920F05FF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19">
        <xdr:nvSpPr>
          <xdr:cNvPr id="81" name="TextBox 80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EE2FBC3-D494-4007-A27C-4CA67AD863E0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4">
        <xdr:nvSpPr>
          <xdr:cNvPr id="82" name="TextBox 81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BD8A711-08E1-44BE-B9ED-F377DA0AF40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1">
        <xdr:nvSpPr>
          <xdr:cNvPr id="83" name="TextBox 82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5936B5-DC84-44A1-A72C-9295EFDEEAB4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23">
        <xdr:nvSpPr>
          <xdr:cNvPr id="84" name="TextBox 83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145218B-6F85-4DA5-A436-9AA4748DB42E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325120</xdr:colOff>
      <xdr:row>1</xdr:row>
      <xdr:rowOff>63500</xdr:rowOff>
    </xdr:from>
    <xdr:to>
      <xdr:col>17</xdr:col>
      <xdr:colOff>351339</xdr:colOff>
      <xdr:row>5</xdr:row>
      <xdr:rowOff>134515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9120" y="246380"/>
          <a:ext cx="1245419" cy="1240339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30</xdr:row>
      <xdr:rowOff>7620</xdr:rowOff>
    </xdr:from>
    <xdr:to>
      <xdr:col>15</xdr:col>
      <xdr:colOff>297180</xdr:colOff>
      <xdr:row>32</xdr:row>
      <xdr:rowOff>144780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2400" y="5707380"/>
          <a:ext cx="9288780" cy="50292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5</xdr:col>
      <xdr:colOff>310097</xdr:colOff>
      <xdr:row>0</xdr:row>
      <xdr:rowOff>99344</xdr:rowOff>
    </xdr:from>
    <xdr:to>
      <xdr:col>8</xdr:col>
      <xdr:colOff>80750</xdr:colOff>
      <xdr:row>3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SpPr/>
      </xdr:nvSpPr>
      <xdr:spPr>
        <a:xfrm>
          <a:off x="3358097" y="99344"/>
          <a:ext cx="1599453" cy="449296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400">
              <a:solidFill>
                <a:srgbClr val="0052CC"/>
              </a:solidFill>
              <a:latin typeface="+mn-lt"/>
              <a:ea typeface="+mn-lt"/>
              <a:cs typeface="+mn-lt"/>
            </a:rPr>
            <a:t>Reporte</a:t>
          </a:r>
        </a:p>
      </xdr:txBody>
    </xdr:sp>
    <xdr:clientData/>
  </xdr:twoCellAnchor>
  <xdr:twoCellAnchor>
    <xdr:from>
      <xdr:col>15</xdr:col>
      <xdr:colOff>91889</xdr:colOff>
      <xdr:row>7</xdr:row>
      <xdr:rowOff>124691</xdr:rowOff>
    </xdr:from>
    <xdr:to>
      <xdr:col>18</xdr:col>
      <xdr:colOff>449</xdr:colOff>
      <xdr:row>32</xdr:row>
      <xdr:rowOff>116541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235889" y="1618211"/>
          <a:ext cx="1737360" cy="456385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</a:p>
        <a:p>
          <a:pPr algn="ctr"/>
          <a:r>
            <a:rPr lang="en-US" sz="2400">
              <a:solidFill>
                <a:srgbClr val="0052CC"/>
              </a:solidFill>
            </a:rPr>
            <a:t> </a:t>
          </a:r>
          <a:br>
            <a:rPr lang="en-US" sz="2400">
              <a:solidFill>
                <a:srgbClr val="0052CC"/>
              </a:solidFill>
            </a:rPr>
          </a:b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</xdr:col>
      <xdr:colOff>277906</xdr:colOff>
      <xdr:row>30</xdr:row>
      <xdr:rowOff>44823</xdr:rowOff>
    </xdr:from>
    <xdr:to>
      <xdr:col>3</xdr:col>
      <xdr:colOff>112059</xdr:colOff>
      <xdr:row>32</xdr:row>
      <xdr:rowOff>98612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87506" y="5744583"/>
          <a:ext cx="1053353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Dia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7</xdr:col>
      <xdr:colOff>484094</xdr:colOff>
      <xdr:row>30</xdr:row>
      <xdr:rowOff>-1</xdr:rowOff>
    </xdr:from>
    <xdr:to>
      <xdr:col>9</xdr:col>
      <xdr:colOff>537882</xdr:colOff>
      <xdr:row>32</xdr:row>
      <xdr:rowOff>53788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751294" y="5699759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13</xdr:col>
      <xdr:colOff>53788</xdr:colOff>
      <xdr:row>30</xdr:row>
      <xdr:rowOff>25549</xdr:rowOff>
    </xdr:from>
    <xdr:to>
      <xdr:col>15</xdr:col>
      <xdr:colOff>107576</xdr:colOff>
      <xdr:row>32</xdr:row>
      <xdr:rowOff>79338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7978588" y="5725309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Mensual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 editAs="oneCell">
    <xdr:from>
      <xdr:col>33</xdr:col>
      <xdr:colOff>312420</xdr:colOff>
      <xdr:row>1</xdr:row>
      <xdr:rowOff>76200</xdr:rowOff>
    </xdr:from>
    <xdr:to>
      <xdr:col>35</xdr:col>
      <xdr:colOff>338639</xdr:colOff>
      <xdr:row>5</xdr:row>
      <xdr:rowOff>149524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2660" y="259080"/>
          <a:ext cx="1245419" cy="1245419"/>
        </a:xfrm>
        <a:prstGeom prst="rect">
          <a:avLst/>
        </a:prstGeom>
      </xdr:spPr>
    </xdr:pic>
    <xdr:clientData/>
  </xdr:twoCellAnchor>
  <xdr:twoCellAnchor>
    <xdr:from>
      <xdr:col>18</xdr:col>
      <xdr:colOff>52295</xdr:colOff>
      <xdr:row>29</xdr:row>
      <xdr:rowOff>160020</xdr:rowOff>
    </xdr:from>
    <xdr:to>
      <xdr:col>33</xdr:col>
      <xdr:colOff>197075</xdr:colOff>
      <xdr:row>32</xdr:row>
      <xdr:rowOff>119380</xdr:rowOff>
    </xdr:to>
    <xdr:sp macro="" textlink="">
      <xdr:nvSpPr>
        <xdr:cNvPr id="10" name="Rectangle 9"/>
        <xdr:cNvSpPr/>
      </xdr:nvSpPr>
      <xdr:spPr>
        <a:xfrm>
          <a:off x="11025095" y="5676900"/>
          <a:ext cx="10142220" cy="50800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33</xdr:col>
      <xdr:colOff>91889</xdr:colOff>
      <xdr:row>5</xdr:row>
      <xdr:rowOff>83129</xdr:rowOff>
    </xdr:from>
    <xdr:to>
      <xdr:col>36</xdr:col>
      <xdr:colOff>449</xdr:colOff>
      <xdr:row>32</xdr:row>
      <xdr:rowOff>125507</xdr:rowOff>
    </xdr:to>
    <xdr:sp macro="" textlink="">
      <xdr:nvSpPr>
        <xdr:cNvPr id="11" name="Rectangle 10"/>
        <xdr:cNvSpPr/>
      </xdr:nvSpPr>
      <xdr:spPr>
        <a:xfrm>
          <a:off x="21067671" y="1427020"/>
          <a:ext cx="1848196" cy="4905323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Total de Pickeos Semanal</a:t>
          </a:r>
          <a:br>
            <a:rPr lang="en-US" sz="2400">
              <a:solidFill>
                <a:srgbClr val="0052CC"/>
              </a:solidFill>
            </a:rPr>
          </a:br>
          <a:r>
            <a:rPr lang="en-US" sz="2400">
              <a:solidFill>
                <a:srgbClr val="0052CC"/>
              </a:solidFill>
            </a:rPr>
            <a:t> 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19</xdr:col>
      <xdr:colOff>227106</xdr:colOff>
      <xdr:row>30</xdr:row>
      <xdr:rowOff>44823</xdr:rowOff>
    </xdr:from>
    <xdr:to>
      <xdr:col>21</xdr:col>
      <xdr:colOff>307788</xdr:colOff>
      <xdr:row>32</xdr:row>
      <xdr:rowOff>98612</xdr:rowOff>
    </xdr:to>
    <xdr:sp macro="" textlink="">
      <xdr:nvSpPr>
        <xdr:cNvPr id="12" name="Rectangle 11"/>
        <xdr:cNvSpPr/>
      </xdr:nvSpPr>
      <xdr:spPr>
        <a:xfrm>
          <a:off x="11809506" y="5744583"/>
          <a:ext cx="1299882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SAMPLE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26</xdr:col>
      <xdr:colOff>226359</xdr:colOff>
      <xdr:row>30</xdr:row>
      <xdr:rowOff>73958</xdr:rowOff>
    </xdr:from>
    <xdr:to>
      <xdr:col>28</xdr:col>
      <xdr:colOff>280147</xdr:colOff>
      <xdr:row>32</xdr:row>
      <xdr:rowOff>127747</xdr:rowOff>
    </xdr:to>
    <xdr:sp macro="" textlink="">
      <xdr:nvSpPr>
        <xdr:cNvPr id="13" name="Rectangle 12"/>
        <xdr:cNvSpPr/>
      </xdr:nvSpPr>
      <xdr:spPr>
        <a:xfrm>
          <a:off x="16075959" y="5773718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BRANCH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29</xdr:col>
      <xdr:colOff>414618</xdr:colOff>
      <xdr:row>30</xdr:row>
      <xdr:rowOff>52443</xdr:rowOff>
    </xdr:from>
    <xdr:to>
      <xdr:col>31</xdr:col>
      <xdr:colOff>468406</xdr:colOff>
      <xdr:row>32</xdr:row>
      <xdr:rowOff>106232</xdr:rowOff>
    </xdr:to>
    <xdr:sp macro="" textlink="">
      <xdr:nvSpPr>
        <xdr:cNvPr id="14" name="Rectangle 13"/>
        <xdr:cNvSpPr/>
      </xdr:nvSpPr>
      <xdr:spPr>
        <a:xfrm>
          <a:off x="18093018" y="5752203"/>
          <a:ext cx="144824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DMI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22</xdr:col>
      <xdr:colOff>431053</xdr:colOff>
      <xdr:row>30</xdr:row>
      <xdr:rowOff>70223</xdr:rowOff>
    </xdr:from>
    <xdr:to>
      <xdr:col>25</xdr:col>
      <xdr:colOff>72465</xdr:colOff>
      <xdr:row>32</xdr:row>
      <xdr:rowOff>124012</xdr:rowOff>
    </xdr:to>
    <xdr:sp macro="" textlink="">
      <xdr:nvSpPr>
        <xdr:cNvPr id="15" name="Rectangle 14"/>
        <xdr:cNvSpPr/>
      </xdr:nvSpPr>
      <xdr:spPr>
        <a:xfrm>
          <a:off x="13842253" y="5769983"/>
          <a:ext cx="1470212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BILL ONLY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23</xdr:col>
      <xdr:colOff>229822</xdr:colOff>
      <xdr:row>0</xdr:row>
      <xdr:rowOff>85572</xdr:rowOff>
    </xdr:from>
    <xdr:to>
      <xdr:col>26</xdr:col>
      <xdr:colOff>81008</xdr:colOff>
      <xdr:row>2</xdr:row>
      <xdr:rowOff>152399</xdr:rowOff>
    </xdr:to>
    <xdr:sp macro="" textlink="">
      <xdr:nvSpPr>
        <xdr:cNvPr id="16" name="Rectangle 15"/>
        <xdr:cNvSpPr/>
      </xdr:nvSpPr>
      <xdr:spPr>
        <a:xfrm>
          <a:off x="14250622" y="85572"/>
          <a:ext cx="1679986" cy="432587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Reporte</a:t>
          </a:r>
          <a:br>
            <a:rPr lang="en-US" sz="2400">
              <a:solidFill>
                <a:srgbClr val="0052CC"/>
              </a:solidFill>
            </a:rPr>
          </a:br>
          <a:r>
            <a:rPr lang="en-US" sz="2400">
              <a:solidFill>
                <a:srgbClr val="0052CC"/>
              </a:solidFill>
            </a:rPr>
            <a:t> 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15</xdr:col>
      <xdr:colOff>317841</xdr:colOff>
      <xdr:row>13</xdr:row>
      <xdr:rowOff>133654</xdr:rowOff>
    </xdr:from>
    <xdr:to>
      <xdr:col>17</xdr:col>
      <xdr:colOff>434382</xdr:colOff>
      <xdr:row>22</xdr:row>
      <xdr:rowOff>35043</xdr:rowOff>
    </xdr:to>
    <xdr:sp macro="" textlink="">
      <xdr:nvSpPr>
        <xdr:cNvPr id="17" name="TextBox 16"/>
        <xdr:cNvSpPr txBox="1"/>
      </xdr:nvSpPr>
      <xdr:spPr>
        <a:xfrm>
          <a:off x="9461841" y="2724454"/>
          <a:ext cx="1335741" cy="1547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 b="1" i="0" u="none" strike="noStrike">
              <a:solidFill>
                <a:srgbClr val="0052CC"/>
              </a:solidFill>
              <a:latin typeface="+mn-lt"/>
              <a:cs typeface="Calibri"/>
            </a:rPr>
            <a:t>30</a:t>
          </a:r>
        </a:p>
      </xdr:txBody>
    </xdr:sp>
    <xdr:clientData/>
  </xdr:twoCellAnchor>
  <xdr:twoCellAnchor>
    <xdr:from>
      <xdr:col>33</xdr:col>
      <xdr:colOff>188871</xdr:colOff>
      <xdr:row>14</xdr:row>
      <xdr:rowOff>41565</xdr:rowOff>
    </xdr:from>
    <xdr:to>
      <xdr:col>35</xdr:col>
      <xdr:colOff>305412</xdr:colOff>
      <xdr:row>22</xdr:row>
      <xdr:rowOff>123063</xdr:rowOff>
    </xdr:to>
    <xdr:sp macro="" textlink="[2]Pickeos!$F$8">
      <xdr:nvSpPr>
        <xdr:cNvPr id="18" name="TextBox 17"/>
        <xdr:cNvSpPr txBox="1"/>
      </xdr:nvSpPr>
      <xdr:spPr>
        <a:xfrm>
          <a:off x="21159111" y="2815245"/>
          <a:ext cx="1335741" cy="15445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FF76CD-BF05-4F05-ADE4-019B2925FF44}" type="TxLink">
            <a:rPr lang="en-US" sz="6000" b="1" i="0" u="none" strike="noStrike">
              <a:solidFill>
                <a:srgbClr val="0052CC"/>
              </a:solidFill>
              <a:latin typeface="Calibri"/>
              <a:cs typeface="Calibri"/>
            </a:rPr>
            <a:pPr algn="ctr"/>
            <a:t>303</a:t>
          </a:fld>
          <a:endParaRPr lang="en-US" sz="49600" b="1">
            <a:solidFill>
              <a:srgbClr val="0052CC"/>
            </a:solidFill>
          </a:endParaRPr>
        </a:p>
      </xdr:txBody>
    </xdr:sp>
    <xdr:clientData/>
  </xdr:twoCellAnchor>
  <xdr:twoCellAnchor>
    <xdr:from>
      <xdr:col>0</xdr:col>
      <xdr:colOff>471055</xdr:colOff>
      <xdr:row>4</xdr:row>
      <xdr:rowOff>0</xdr:rowOff>
    </xdr:from>
    <xdr:to>
      <xdr:col>14</xdr:col>
      <xdr:colOff>457200</xdr:colOff>
      <xdr:row>29</xdr:row>
      <xdr:rowOff>124691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581891</xdr:colOff>
      <xdr:row>5</xdr:row>
      <xdr:rowOff>124691</xdr:rowOff>
    </xdr:from>
    <xdr:to>
      <xdr:col>10</xdr:col>
      <xdr:colOff>563145</xdr:colOff>
      <xdr:row>28</xdr:row>
      <xdr:rowOff>163605</xdr:rowOff>
    </xdr:to>
    <xdr:grpSp>
      <xdr:nvGrpSpPr>
        <xdr:cNvPr id="20" name="Group 19"/>
        <xdr:cNvGrpSpPr/>
      </xdr:nvGrpSpPr>
      <xdr:grpSpPr>
        <a:xfrm>
          <a:off x="2410691" y="1465811"/>
          <a:ext cx="4248454" cy="4245154"/>
          <a:chOff x="14645884" y="4817308"/>
          <a:chExt cx="4248454" cy="4129468"/>
        </a:xfrm>
      </xdr:grpSpPr>
      <xdr:sp macro="" textlink="$K$16">
        <xdr:nvSpPr>
          <xdr:cNvPr id="21" name="TextBox 20"/>
          <xdr:cNvSpPr txBox="1"/>
        </xdr:nvSpPr>
        <xdr:spPr>
          <a:xfrm>
            <a:off x="16404594" y="4817308"/>
            <a:ext cx="717177" cy="3284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1143E21-E731-41BE-959E-7E1CFDEA08E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AU$4">
        <xdr:nvSpPr>
          <xdr:cNvPr id="22" name="TextBox 21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113BC71-007E-4E4E-9BA6-74FC920F05FF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19">
        <xdr:nvSpPr>
          <xdr:cNvPr id="23" name="TextBox 22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EE2FBC3-D494-4007-A27C-4CA67AD863E0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AU$1">
        <xdr:nvSpPr>
          <xdr:cNvPr id="24" name="TextBox 23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BD8A711-08E1-44BE-B9ED-F377DA0AF40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1">
        <xdr:nvSpPr>
          <xdr:cNvPr id="25" name="TextBox 24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5936B5-DC84-44A1-A72C-9295EFDEEAB4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23">
        <xdr:nvSpPr>
          <xdr:cNvPr id="26" name="TextBox 25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145218B-6F85-4DA5-A436-9AA4748DB42E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18</xdr:col>
      <xdr:colOff>540326</xdr:colOff>
      <xdr:row>4</xdr:row>
      <xdr:rowOff>0</xdr:rowOff>
    </xdr:from>
    <xdr:to>
      <xdr:col>32</xdr:col>
      <xdr:colOff>415635</xdr:colOff>
      <xdr:row>30</xdr:row>
      <xdr:rowOff>74815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482152</xdr:colOff>
      <xdr:row>7</xdr:row>
      <xdr:rowOff>35757</xdr:rowOff>
    </xdr:from>
    <xdr:to>
      <xdr:col>31</xdr:col>
      <xdr:colOff>665752</xdr:colOff>
      <xdr:row>29</xdr:row>
      <xdr:rowOff>143944</xdr:rowOff>
    </xdr:to>
    <xdr:grpSp>
      <xdr:nvGrpSpPr>
        <xdr:cNvPr id="28" name="Group 27"/>
        <xdr:cNvGrpSpPr/>
      </xdr:nvGrpSpPr>
      <xdr:grpSpPr>
        <a:xfrm>
          <a:off x="12674152" y="1742637"/>
          <a:ext cx="7072080" cy="4131547"/>
          <a:chOff x="14645884" y="4926767"/>
          <a:chExt cx="4248454" cy="4020009"/>
        </a:xfrm>
      </xdr:grpSpPr>
      <xdr:sp macro="" textlink="$L$16">
        <xdr:nvSpPr>
          <xdr:cNvPr id="29" name="TextBox 28"/>
          <xdr:cNvSpPr txBox="1"/>
        </xdr:nvSpPr>
        <xdr:spPr>
          <a:xfrm>
            <a:off x="16912491" y="4926767"/>
            <a:ext cx="717177" cy="3284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B64F585-1E07-4CED-9A63-F4B4D03F2A59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AV$4">
        <xdr:nvSpPr>
          <xdr:cNvPr id="30" name="TextBox 29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A5CAAFA-D595-465D-8BB5-C3E947B81A4B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19">
        <xdr:nvSpPr>
          <xdr:cNvPr id="31" name="TextBox 30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758FCB8-A2A0-4DB2-84A5-6A974B297F28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AV$1">
        <xdr:nvSpPr>
          <xdr:cNvPr id="32" name="TextBox 31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851D0B-F269-41AA-AADC-E1423AC44E57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31">
        <xdr:nvSpPr>
          <xdr:cNvPr id="33" name="TextBox 32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3836025-FEEE-4CDE-BDAF-92E3C7D1EC06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23">
        <xdr:nvSpPr>
          <xdr:cNvPr id="34" name="TextBox 33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9140535-DCBF-46C4-9A03-745F2C6902B8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</xdr:grpSp>
    <xdr:clientData/>
  </xdr:twoCellAnchor>
  <xdr:oneCellAnchor>
    <xdr:from>
      <xdr:col>51</xdr:col>
      <xdr:colOff>325120</xdr:colOff>
      <xdr:row>2</xdr:row>
      <xdr:rowOff>63500</xdr:rowOff>
    </xdr:from>
    <xdr:ext cx="1245419" cy="1234797"/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9120" y="6677660"/>
          <a:ext cx="1245419" cy="1234797"/>
        </a:xfrm>
        <a:prstGeom prst="rect">
          <a:avLst/>
        </a:prstGeom>
      </xdr:spPr>
    </xdr:pic>
    <xdr:clientData/>
  </xdr:oneCellAnchor>
  <xdr:twoCellAnchor>
    <xdr:from>
      <xdr:col>36</xdr:col>
      <xdr:colOff>152400</xdr:colOff>
      <xdr:row>31</xdr:row>
      <xdr:rowOff>7620</xdr:rowOff>
    </xdr:from>
    <xdr:to>
      <xdr:col>51</xdr:col>
      <xdr:colOff>297180</xdr:colOff>
      <xdr:row>33</xdr:row>
      <xdr:rowOff>144780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2400" y="12138660"/>
          <a:ext cx="9288780" cy="50292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41</xdr:col>
      <xdr:colOff>310097</xdr:colOff>
      <xdr:row>1</xdr:row>
      <xdr:rowOff>99344</xdr:rowOff>
    </xdr:from>
    <xdr:to>
      <xdr:col>44</xdr:col>
      <xdr:colOff>80750</xdr:colOff>
      <xdr:row>4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SpPr/>
      </xdr:nvSpPr>
      <xdr:spPr>
        <a:xfrm>
          <a:off x="3358097" y="6530624"/>
          <a:ext cx="1599453" cy="449296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400">
              <a:solidFill>
                <a:srgbClr val="0052CC"/>
              </a:solidFill>
              <a:latin typeface="+mn-lt"/>
              <a:ea typeface="+mn-lt"/>
              <a:cs typeface="+mn-lt"/>
            </a:rPr>
            <a:t>Reporte</a:t>
          </a:r>
        </a:p>
      </xdr:txBody>
    </xdr:sp>
    <xdr:clientData/>
  </xdr:twoCellAnchor>
  <xdr:twoCellAnchor>
    <xdr:from>
      <xdr:col>51</xdr:col>
      <xdr:colOff>91889</xdr:colOff>
      <xdr:row>8</xdr:row>
      <xdr:rowOff>124691</xdr:rowOff>
    </xdr:from>
    <xdr:to>
      <xdr:col>54</xdr:col>
      <xdr:colOff>449</xdr:colOff>
      <xdr:row>33</xdr:row>
      <xdr:rowOff>116541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235889" y="8049491"/>
          <a:ext cx="1737360" cy="456385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</a:p>
        <a:p>
          <a:pPr algn="ctr"/>
          <a:r>
            <a:rPr lang="en-US" sz="2400">
              <a:solidFill>
                <a:srgbClr val="0052CC"/>
              </a:solidFill>
            </a:rPr>
            <a:t> </a:t>
          </a:r>
          <a:br>
            <a:rPr lang="en-US" sz="2400">
              <a:solidFill>
                <a:srgbClr val="0052CC"/>
              </a:solidFill>
            </a:rPr>
          </a:b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37</xdr:col>
      <xdr:colOff>277906</xdr:colOff>
      <xdr:row>31</xdr:row>
      <xdr:rowOff>44823</xdr:rowOff>
    </xdr:from>
    <xdr:to>
      <xdr:col>39</xdr:col>
      <xdr:colOff>112059</xdr:colOff>
      <xdr:row>33</xdr:row>
      <xdr:rowOff>98612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87506" y="12175863"/>
          <a:ext cx="1053353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Dia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43</xdr:col>
      <xdr:colOff>484094</xdr:colOff>
      <xdr:row>31</xdr:row>
      <xdr:rowOff>-1</xdr:rowOff>
    </xdr:from>
    <xdr:to>
      <xdr:col>45</xdr:col>
      <xdr:colOff>537882</xdr:colOff>
      <xdr:row>33</xdr:row>
      <xdr:rowOff>53788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751294" y="12131039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49</xdr:col>
      <xdr:colOff>53788</xdr:colOff>
      <xdr:row>31</xdr:row>
      <xdr:rowOff>25549</xdr:rowOff>
    </xdr:from>
    <xdr:to>
      <xdr:col>51</xdr:col>
      <xdr:colOff>107576</xdr:colOff>
      <xdr:row>33</xdr:row>
      <xdr:rowOff>79338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7978588" y="12156589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Mensual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51</xdr:col>
      <xdr:colOff>317841</xdr:colOff>
      <xdr:row>14</xdr:row>
      <xdr:rowOff>133654</xdr:rowOff>
    </xdr:from>
    <xdr:to>
      <xdr:col>53</xdr:col>
      <xdr:colOff>434382</xdr:colOff>
      <xdr:row>23</xdr:row>
      <xdr:rowOff>35043</xdr:rowOff>
    </xdr:to>
    <xdr:sp macro="" textlink="">
      <xdr:nvSpPr>
        <xdr:cNvPr id="42" name="TextBox 41"/>
        <xdr:cNvSpPr txBox="1"/>
      </xdr:nvSpPr>
      <xdr:spPr>
        <a:xfrm>
          <a:off x="9461841" y="9155734"/>
          <a:ext cx="1335741" cy="1547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 b="1" i="0" u="none" strike="noStrike">
              <a:solidFill>
                <a:srgbClr val="0052CC"/>
              </a:solidFill>
              <a:latin typeface="+mn-lt"/>
              <a:cs typeface="Calibri"/>
            </a:rPr>
            <a:t>30</a:t>
          </a:r>
        </a:p>
      </xdr:txBody>
    </xdr:sp>
    <xdr:clientData/>
  </xdr:twoCellAnchor>
  <xdr:twoCellAnchor>
    <xdr:from>
      <xdr:col>36</xdr:col>
      <xdr:colOff>471055</xdr:colOff>
      <xdr:row>5</xdr:row>
      <xdr:rowOff>0</xdr:rowOff>
    </xdr:from>
    <xdr:to>
      <xdr:col>50</xdr:col>
      <xdr:colOff>457200</xdr:colOff>
      <xdr:row>30</xdr:row>
      <xdr:rowOff>124691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581891</xdr:colOff>
      <xdr:row>6</xdr:row>
      <xdr:rowOff>124691</xdr:rowOff>
    </xdr:from>
    <xdr:to>
      <xdr:col>46</xdr:col>
      <xdr:colOff>563145</xdr:colOff>
      <xdr:row>29</xdr:row>
      <xdr:rowOff>163605</xdr:rowOff>
    </xdr:to>
    <xdr:grpSp>
      <xdr:nvGrpSpPr>
        <xdr:cNvPr id="44" name="Group 43"/>
        <xdr:cNvGrpSpPr/>
      </xdr:nvGrpSpPr>
      <xdr:grpSpPr>
        <a:xfrm>
          <a:off x="25331651" y="1648691"/>
          <a:ext cx="4248454" cy="4245154"/>
          <a:chOff x="14645884" y="4817308"/>
          <a:chExt cx="4248454" cy="4129468"/>
        </a:xfrm>
      </xdr:grpSpPr>
      <xdr:sp macro="" textlink="$K$16">
        <xdr:nvSpPr>
          <xdr:cNvPr id="45" name="TextBox 44"/>
          <xdr:cNvSpPr txBox="1"/>
        </xdr:nvSpPr>
        <xdr:spPr>
          <a:xfrm>
            <a:off x="16404594" y="4817308"/>
            <a:ext cx="717177" cy="3284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1143E21-E731-41BE-959E-7E1CFDEA08E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AU$4">
        <xdr:nvSpPr>
          <xdr:cNvPr id="46" name="TextBox 45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113BC71-007E-4E4E-9BA6-74FC920F05FF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19">
        <xdr:nvSpPr>
          <xdr:cNvPr id="47" name="TextBox 46"/>
          <xdr:cNvSpPr txBox="1"/>
        </xdr:nvSpPr>
        <xdr:spPr>
          <a:xfrm>
            <a:off x="18105443" y="5700737"/>
            <a:ext cx="788895" cy="37814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EE2FBC3-D494-4007-A27C-4CA67AD863E0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AU$1">
        <xdr:nvSpPr>
          <xdr:cNvPr id="48" name="TextBox 47"/>
          <xdr:cNvSpPr txBox="1"/>
        </xdr:nvSpPr>
        <xdr:spPr>
          <a:xfrm>
            <a:off x="14645884" y="7174208"/>
            <a:ext cx="800304" cy="26079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BD8A711-08E1-44BE-B9ED-F377DA0AF40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1">
        <xdr:nvSpPr>
          <xdr:cNvPr id="49" name="TextBox 48"/>
          <xdr:cNvSpPr txBox="1"/>
        </xdr:nvSpPr>
        <xdr:spPr>
          <a:xfrm>
            <a:off x="16479573" y="8649311"/>
            <a:ext cx="968189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5936B5-DC84-44A1-A72C-9295EFDEEAB4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23">
        <xdr:nvSpPr>
          <xdr:cNvPr id="50" name="TextBox 49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145218B-6F85-4DA5-A436-9AA4748DB42E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34834</xdr:colOff>
      <xdr:row>0</xdr:row>
      <xdr:rowOff>130628</xdr:rowOff>
    </xdr:from>
    <xdr:to>
      <xdr:col>17</xdr:col>
      <xdr:colOff>313239</xdr:colOff>
      <xdr:row>7</xdr:row>
      <xdr:rowOff>70289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6348" y="130628"/>
          <a:ext cx="1301662" cy="146366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30</xdr:row>
      <xdr:rowOff>7620</xdr:rowOff>
    </xdr:from>
    <xdr:to>
      <xdr:col>15</xdr:col>
      <xdr:colOff>297180</xdr:colOff>
      <xdr:row>32</xdr:row>
      <xdr:rowOff>144780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17500" y="5557520"/>
          <a:ext cx="8831580" cy="49276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5</xdr:col>
      <xdr:colOff>310097</xdr:colOff>
      <xdr:row>0</xdr:row>
      <xdr:rowOff>99344</xdr:rowOff>
    </xdr:from>
    <xdr:to>
      <xdr:col>8</xdr:col>
      <xdr:colOff>80750</xdr:colOff>
      <xdr:row>3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SpPr/>
      </xdr:nvSpPr>
      <xdr:spPr>
        <a:xfrm>
          <a:off x="3358097" y="99344"/>
          <a:ext cx="1599453" cy="449296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400">
              <a:solidFill>
                <a:srgbClr val="0052CC"/>
              </a:solidFill>
              <a:latin typeface="+mn-lt"/>
              <a:ea typeface="+mn-lt"/>
              <a:cs typeface="+mn-lt"/>
            </a:rPr>
            <a:t>Reporte</a:t>
          </a:r>
        </a:p>
      </xdr:txBody>
    </xdr:sp>
    <xdr:clientData/>
  </xdr:twoCellAnchor>
  <xdr:twoCellAnchor>
    <xdr:from>
      <xdr:col>14</xdr:col>
      <xdr:colOff>472889</xdr:colOff>
      <xdr:row>7</xdr:row>
      <xdr:rowOff>162791</xdr:rowOff>
    </xdr:from>
    <xdr:to>
      <xdr:col>17</xdr:col>
      <xdr:colOff>381449</xdr:colOff>
      <xdr:row>32</xdr:row>
      <xdr:rowOff>154641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8715189" y="1623291"/>
          <a:ext cx="1737360" cy="443685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</a:p>
        <a:p>
          <a:pPr algn="ctr"/>
          <a:r>
            <a:rPr lang="en-US" sz="2400">
              <a:solidFill>
                <a:srgbClr val="0052CC"/>
              </a:solidFill>
            </a:rPr>
            <a:t> </a:t>
          </a:r>
          <a:br>
            <a:rPr lang="en-US" sz="2400">
              <a:solidFill>
                <a:srgbClr val="0052CC"/>
              </a:solidFill>
            </a:rPr>
          </a:b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</xdr:col>
      <xdr:colOff>277906</xdr:colOff>
      <xdr:row>30</xdr:row>
      <xdr:rowOff>44823</xdr:rowOff>
    </xdr:from>
    <xdr:to>
      <xdr:col>3</xdr:col>
      <xdr:colOff>112059</xdr:colOff>
      <xdr:row>32</xdr:row>
      <xdr:rowOff>98612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87506" y="5957943"/>
          <a:ext cx="1053353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Dia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7</xdr:col>
      <xdr:colOff>484094</xdr:colOff>
      <xdr:row>30</xdr:row>
      <xdr:rowOff>-1</xdr:rowOff>
    </xdr:from>
    <xdr:to>
      <xdr:col>9</xdr:col>
      <xdr:colOff>537882</xdr:colOff>
      <xdr:row>32</xdr:row>
      <xdr:rowOff>53788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751294" y="5913119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13</xdr:col>
      <xdr:colOff>53788</xdr:colOff>
      <xdr:row>30</xdr:row>
      <xdr:rowOff>25549</xdr:rowOff>
    </xdr:from>
    <xdr:to>
      <xdr:col>15</xdr:col>
      <xdr:colOff>107576</xdr:colOff>
      <xdr:row>32</xdr:row>
      <xdr:rowOff>79338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7978588" y="5938669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Mensual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15</xdr:col>
      <xdr:colOff>89241</xdr:colOff>
      <xdr:row>13</xdr:row>
      <xdr:rowOff>171754</xdr:rowOff>
    </xdr:from>
    <xdr:to>
      <xdr:col>17</xdr:col>
      <xdr:colOff>205782</xdr:colOff>
      <xdr:row>22</xdr:row>
      <xdr:rowOff>73143</xdr:rowOff>
    </xdr:to>
    <xdr:sp macro="" textlink="">
      <xdr:nvSpPr>
        <xdr:cNvPr id="10" name="TextBox 9"/>
        <xdr:cNvSpPr txBox="1"/>
      </xdr:nvSpPr>
      <xdr:spPr>
        <a:xfrm>
          <a:off x="8941141" y="2699054"/>
          <a:ext cx="1335741" cy="15015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 b="1" i="0" u="none" strike="noStrike">
              <a:solidFill>
                <a:srgbClr val="0052CC"/>
              </a:solidFill>
              <a:latin typeface="+mn-lt"/>
              <a:cs typeface="Calibri"/>
            </a:rPr>
            <a:t>30</a:t>
          </a:r>
        </a:p>
      </xdr:txBody>
    </xdr:sp>
    <xdr:clientData/>
  </xdr:twoCellAnchor>
  <xdr:twoCellAnchor>
    <xdr:from>
      <xdr:col>0</xdr:col>
      <xdr:colOff>471055</xdr:colOff>
      <xdr:row>4</xdr:row>
      <xdr:rowOff>65314</xdr:rowOff>
    </xdr:from>
    <xdr:to>
      <xdr:col>14</xdr:col>
      <xdr:colOff>457200</xdr:colOff>
      <xdr:row>29</xdr:row>
      <xdr:rowOff>124691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439649</xdr:colOff>
      <xdr:row>8</xdr:row>
      <xdr:rowOff>165099</xdr:rowOff>
    </xdr:from>
    <xdr:to>
      <xdr:col>11</xdr:col>
      <xdr:colOff>482599</xdr:colOff>
      <xdr:row>26</xdr:row>
      <xdr:rowOff>163604</xdr:rowOff>
    </xdr:to>
    <xdr:grpSp>
      <xdr:nvGrpSpPr>
        <xdr:cNvPr id="12" name="Group 11"/>
        <xdr:cNvGrpSpPr/>
      </xdr:nvGrpSpPr>
      <xdr:grpSpPr>
        <a:xfrm>
          <a:off x="1887449" y="1892299"/>
          <a:ext cx="3903750" cy="3884705"/>
          <a:chOff x="14587762" y="4817308"/>
          <a:chExt cx="4466413" cy="3716378"/>
        </a:xfrm>
      </xdr:grpSpPr>
      <xdr:sp macro="" textlink="$K$16">
        <xdr:nvSpPr>
          <xdr:cNvPr id="13" name="TextBox 12"/>
          <xdr:cNvSpPr txBox="1"/>
        </xdr:nvSpPr>
        <xdr:spPr>
          <a:xfrm>
            <a:off x="16404594" y="4817308"/>
            <a:ext cx="920451" cy="3401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1143E21-E731-41BE-959E-7E1CFDEA08E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AT$4">
        <xdr:nvSpPr>
          <xdr:cNvPr id="14" name="TextBox 13"/>
          <xdr:cNvSpPr txBox="1"/>
        </xdr:nvSpPr>
        <xdr:spPr>
          <a:xfrm>
            <a:off x="14685816" y="5712148"/>
            <a:ext cx="809270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113BC71-007E-4E4E-9BA6-74FC920F05FF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19">
        <xdr:nvSpPr>
          <xdr:cNvPr id="15" name="TextBox 14"/>
          <xdr:cNvSpPr txBox="1"/>
        </xdr:nvSpPr>
        <xdr:spPr>
          <a:xfrm>
            <a:off x="18105443" y="5700737"/>
            <a:ext cx="948732" cy="2950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EE2FBC3-D494-4007-A27C-4CA67AD863E0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AT$1">
        <xdr:nvSpPr>
          <xdr:cNvPr id="16" name="TextBox 15"/>
          <xdr:cNvSpPr txBox="1"/>
        </xdr:nvSpPr>
        <xdr:spPr>
          <a:xfrm>
            <a:off x="14587762" y="7307855"/>
            <a:ext cx="800305" cy="26079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BD8A711-08E1-44BE-B9ED-F377DA0AF40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31">
        <xdr:nvSpPr>
          <xdr:cNvPr id="17" name="TextBox 16"/>
          <xdr:cNvSpPr txBox="1"/>
        </xdr:nvSpPr>
        <xdr:spPr>
          <a:xfrm>
            <a:off x="16305207" y="8236221"/>
            <a:ext cx="968189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5936B5-DC84-44A1-A72C-9295EFDEEAB4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K$23">
        <xdr:nvSpPr>
          <xdr:cNvPr id="18" name="TextBox 17"/>
          <xdr:cNvSpPr txBox="1"/>
        </xdr:nvSpPr>
        <xdr:spPr>
          <a:xfrm>
            <a:off x="17938275" y="7319639"/>
            <a:ext cx="761999" cy="2607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145218B-6F85-4DA5-A436-9AA4748DB42E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18</xdr:col>
      <xdr:colOff>0</xdr:colOff>
      <xdr:row>29</xdr:row>
      <xdr:rowOff>160020</xdr:rowOff>
    </xdr:from>
    <xdr:to>
      <xdr:col>32</xdr:col>
      <xdr:colOff>197075</xdr:colOff>
      <xdr:row>32</xdr:row>
      <xdr:rowOff>119380</xdr:rowOff>
    </xdr:to>
    <xdr:sp macro="" textlink="">
      <xdr:nvSpPr>
        <xdr:cNvPr id="49" name="Rectangle 48"/>
        <xdr:cNvSpPr/>
      </xdr:nvSpPr>
      <xdr:spPr>
        <a:xfrm>
          <a:off x="11025095" y="5676900"/>
          <a:ext cx="10142220" cy="50800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18</xdr:col>
      <xdr:colOff>227106</xdr:colOff>
      <xdr:row>30</xdr:row>
      <xdr:rowOff>44823</xdr:rowOff>
    </xdr:from>
    <xdr:to>
      <xdr:col>20</xdr:col>
      <xdr:colOff>307788</xdr:colOff>
      <xdr:row>32</xdr:row>
      <xdr:rowOff>98612</xdr:rowOff>
    </xdr:to>
    <xdr:sp macro="" textlink="">
      <xdr:nvSpPr>
        <xdr:cNvPr id="51" name="Rectangle 50"/>
        <xdr:cNvSpPr/>
      </xdr:nvSpPr>
      <xdr:spPr>
        <a:xfrm>
          <a:off x="11809506" y="5744583"/>
          <a:ext cx="1299882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SAMPLE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25</xdr:col>
      <xdr:colOff>226359</xdr:colOff>
      <xdr:row>30</xdr:row>
      <xdr:rowOff>73958</xdr:rowOff>
    </xdr:from>
    <xdr:to>
      <xdr:col>27</xdr:col>
      <xdr:colOff>280147</xdr:colOff>
      <xdr:row>32</xdr:row>
      <xdr:rowOff>127747</xdr:rowOff>
    </xdr:to>
    <xdr:sp macro="" textlink="">
      <xdr:nvSpPr>
        <xdr:cNvPr id="52" name="Rectangle 51"/>
        <xdr:cNvSpPr/>
      </xdr:nvSpPr>
      <xdr:spPr>
        <a:xfrm>
          <a:off x="16075959" y="5773718"/>
          <a:ext cx="127298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BRANCH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28</xdr:col>
      <xdr:colOff>414618</xdr:colOff>
      <xdr:row>30</xdr:row>
      <xdr:rowOff>52443</xdr:rowOff>
    </xdr:from>
    <xdr:to>
      <xdr:col>30</xdr:col>
      <xdr:colOff>468406</xdr:colOff>
      <xdr:row>32</xdr:row>
      <xdr:rowOff>106232</xdr:rowOff>
    </xdr:to>
    <xdr:sp macro="" textlink="">
      <xdr:nvSpPr>
        <xdr:cNvPr id="53" name="Rectangle 52"/>
        <xdr:cNvSpPr/>
      </xdr:nvSpPr>
      <xdr:spPr>
        <a:xfrm>
          <a:off x="18093018" y="5752203"/>
          <a:ext cx="1448248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DMI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21</xdr:col>
      <xdr:colOff>431053</xdr:colOff>
      <xdr:row>30</xdr:row>
      <xdr:rowOff>70223</xdr:rowOff>
    </xdr:from>
    <xdr:to>
      <xdr:col>24</xdr:col>
      <xdr:colOff>72465</xdr:colOff>
      <xdr:row>32</xdr:row>
      <xdr:rowOff>124012</xdr:rowOff>
    </xdr:to>
    <xdr:sp macro="" textlink="">
      <xdr:nvSpPr>
        <xdr:cNvPr id="54" name="Rectangle 53"/>
        <xdr:cNvSpPr/>
      </xdr:nvSpPr>
      <xdr:spPr>
        <a:xfrm>
          <a:off x="13842253" y="5769983"/>
          <a:ext cx="1470212" cy="41954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BILL ONLY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18</xdr:col>
      <xdr:colOff>0</xdr:colOff>
      <xdr:row>4</xdr:row>
      <xdr:rowOff>87086</xdr:rowOff>
    </xdr:from>
    <xdr:to>
      <xdr:col>31</xdr:col>
      <xdr:colOff>415635</xdr:colOff>
      <xdr:row>30</xdr:row>
      <xdr:rowOff>74815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406400</xdr:colOff>
      <xdr:row>9</xdr:row>
      <xdr:rowOff>38098</xdr:rowOff>
    </xdr:from>
    <xdr:to>
      <xdr:col>28</xdr:col>
      <xdr:colOff>406401</xdr:colOff>
      <xdr:row>26</xdr:row>
      <xdr:rowOff>12698</xdr:rowOff>
    </xdr:to>
    <xdr:grpSp>
      <xdr:nvGrpSpPr>
        <xdr:cNvPr id="57" name="Group 56"/>
        <xdr:cNvGrpSpPr/>
      </xdr:nvGrpSpPr>
      <xdr:grpSpPr>
        <a:xfrm>
          <a:off x="10210800" y="1981198"/>
          <a:ext cx="3860801" cy="3644900"/>
          <a:chOff x="14853463" y="5096995"/>
          <a:chExt cx="4206939" cy="3758120"/>
        </a:xfrm>
      </xdr:grpSpPr>
      <xdr:sp macro="" textlink="$L$16">
        <xdr:nvSpPr>
          <xdr:cNvPr id="58" name="TextBox 57"/>
          <xdr:cNvSpPr txBox="1"/>
        </xdr:nvSpPr>
        <xdr:spPr>
          <a:xfrm>
            <a:off x="16635718" y="5096995"/>
            <a:ext cx="717177" cy="3284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B64F585-1E07-4CED-9A63-F4B4D03F2A59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37">
        <xdr:nvSpPr>
          <xdr:cNvPr id="59" name="TextBox 58"/>
          <xdr:cNvSpPr txBox="1"/>
        </xdr:nvSpPr>
        <xdr:spPr>
          <a:xfrm>
            <a:off x="14962588" y="5934755"/>
            <a:ext cx="809270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A5CAAFA-D595-465D-8BB5-C3E947B81A4B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19">
        <xdr:nvSpPr>
          <xdr:cNvPr id="60" name="TextBox 59"/>
          <xdr:cNvSpPr txBox="1"/>
        </xdr:nvSpPr>
        <xdr:spPr>
          <a:xfrm>
            <a:off x="18271507" y="5884060"/>
            <a:ext cx="788895" cy="37814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758FCB8-A2A0-4DB2-84A5-6A974B297F28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34">
        <xdr:nvSpPr>
          <xdr:cNvPr id="61" name="TextBox 60"/>
          <xdr:cNvSpPr txBox="1"/>
        </xdr:nvSpPr>
        <xdr:spPr>
          <a:xfrm>
            <a:off x="14853463" y="7200397"/>
            <a:ext cx="800304" cy="26079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851D0B-F269-41AA-AADC-E1423AC44E57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31">
        <xdr:nvSpPr>
          <xdr:cNvPr id="62" name="TextBox 61"/>
          <xdr:cNvSpPr txBox="1"/>
        </xdr:nvSpPr>
        <xdr:spPr>
          <a:xfrm>
            <a:off x="16645636" y="8557650"/>
            <a:ext cx="968188" cy="29746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3836025-FEEE-4CDE-BDAF-92E3C7D1EC06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$L$23">
        <xdr:nvSpPr>
          <xdr:cNvPr id="63" name="TextBox 62"/>
          <xdr:cNvSpPr txBox="1"/>
        </xdr:nvSpPr>
        <xdr:spPr>
          <a:xfrm>
            <a:off x="18098110" y="7246741"/>
            <a:ext cx="761999" cy="26079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9140535-DCBF-46C4-9A03-745F2C6902B8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oneCell">
    <xdr:from>
      <xdr:col>32</xdr:col>
      <xdr:colOff>17331</xdr:colOff>
      <xdr:row>0</xdr:row>
      <xdr:rowOff>139700</xdr:rowOff>
    </xdr:from>
    <xdr:to>
      <xdr:col>34</xdr:col>
      <xdr:colOff>304807</xdr:colOff>
      <xdr:row>7</xdr:row>
      <xdr:rowOff>88795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19731" y="139700"/>
          <a:ext cx="1245419" cy="1409595"/>
        </a:xfrm>
        <a:prstGeom prst="rect">
          <a:avLst/>
        </a:prstGeom>
      </xdr:spPr>
    </xdr:pic>
    <xdr:clientData/>
  </xdr:twoCellAnchor>
  <xdr:twoCellAnchor>
    <xdr:from>
      <xdr:col>31</xdr:col>
      <xdr:colOff>444500</xdr:colOff>
      <xdr:row>7</xdr:row>
      <xdr:rowOff>124691</xdr:rowOff>
    </xdr:from>
    <xdr:to>
      <xdr:col>34</xdr:col>
      <xdr:colOff>340360</xdr:colOff>
      <xdr:row>32</xdr:row>
      <xdr:rowOff>116541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037300" y="1585191"/>
          <a:ext cx="1724660" cy="443685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</a:p>
        <a:p>
          <a:pPr algn="ctr"/>
          <a:r>
            <a:rPr lang="en-US" sz="2400">
              <a:solidFill>
                <a:srgbClr val="0052CC"/>
              </a:solidFill>
            </a:rPr>
            <a:t> </a:t>
          </a:r>
          <a:br>
            <a:rPr lang="en-US" sz="2400">
              <a:solidFill>
                <a:srgbClr val="0052CC"/>
              </a:solidFill>
            </a:rPr>
          </a:b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32</xdr:col>
      <xdr:colOff>60852</xdr:colOff>
      <xdr:row>13</xdr:row>
      <xdr:rowOff>133654</xdr:rowOff>
    </xdr:from>
    <xdr:to>
      <xdr:col>34</xdr:col>
      <xdr:colOff>164693</xdr:colOff>
      <xdr:row>22</xdr:row>
      <xdr:rowOff>35043</xdr:rowOff>
    </xdr:to>
    <xdr:sp macro="" textlink="">
      <xdr:nvSpPr>
        <xdr:cNvPr id="67" name="TextBox 66"/>
        <xdr:cNvSpPr txBox="1"/>
      </xdr:nvSpPr>
      <xdr:spPr>
        <a:xfrm>
          <a:off x="19263252" y="2660954"/>
          <a:ext cx="1323041" cy="15015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 b="1" i="0" u="none" strike="noStrike">
              <a:solidFill>
                <a:srgbClr val="0052CC"/>
              </a:solidFill>
              <a:latin typeface="+mn-lt"/>
              <a:cs typeface="Calibri"/>
            </a:rPr>
            <a:t>30</a:t>
          </a:r>
        </a:p>
      </xdr:txBody>
    </xdr:sp>
    <xdr:clientData/>
  </xdr:twoCellAnchor>
  <xdr:twoCellAnchor>
    <xdr:from>
      <xdr:col>35</xdr:col>
      <xdr:colOff>38100</xdr:colOff>
      <xdr:row>29</xdr:row>
      <xdr:rowOff>160020</xdr:rowOff>
    </xdr:from>
    <xdr:to>
      <xdr:col>49</xdr:col>
      <xdr:colOff>197075</xdr:colOff>
      <xdr:row>32</xdr:row>
      <xdr:rowOff>119380</xdr:rowOff>
    </xdr:to>
    <xdr:sp macro="" textlink="">
      <xdr:nvSpPr>
        <xdr:cNvPr id="100" name="Rectangle 99"/>
        <xdr:cNvSpPr/>
      </xdr:nvSpPr>
      <xdr:spPr>
        <a:xfrm>
          <a:off x="20599400" y="5532120"/>
          <a:ext cx="8693375" cy="49276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35</xdr:col>
      <xdr:colOff>227106</xdr:colOff>
      <xdr:row>30</xdr:row>
      <xdr:rowOff>44823</xdr:rowOff>
    </xdr:from>
    <xdr:to>
      <xdr:col>37</xdr:col>
      <xdr:colOff>307788</xdr:colOff>
      <xdr:row>32</xdr:row>
      <xdr:rowOff>98612</xdr:rowOff>
    </xdr:to>
    <xdr:sp macro="" textlink="">
      <xdr:nvSpPr>
        <xdr:cNvPr id="101" name="Rectangle 100"/>
        <xdr:cNvSpPr/>
      </xdr:nvSpPr>
      <xdr:spPr>
        <a:xfrm>
          <a:off x="10895106" y="5594723"/>
          <a:ext cx="1299882" cy="40938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SAMPLE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42</xdr:col>
      <xdr:colOff>226359</xdr:colOff>
      <xdr:row>30</xdr:row>
      <xdr:rowOff>73958</xdr:rowOff>
    </xdr:from>
    <xdr:to>
      <xdr:col>44</xdr:col>
      <xdr:colOff>280147</xdr:colOff>
      <xdr:row>32</xdr:row>
      <xdr:rowOff>127747</xdr:rowOff>
    </xdr:to>
    <xdr:sp macro="" textlink="">
      <xdr:nvSpPr>
        <xdr:cNvPr id="102" name="Rectangle 101"/>
        <xdr:cNvSpPr/>
      </xdr:nvSpPr>
      <xdr:spPr>
        <a:xfrm>
          <a:off x="15161559" y="5623858"/>
          <a:ext cx="1272988" cy="40938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BRANCH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45</xdr:col>
      <xdr:colOff>414618</xdr:colOff>
      <xdr:row>30</xdr:row>
      <xdr:rowOff>52443</xdr:rowOff>
    </xdr:from>
    <xdr:to>
      <xdr:col>47</xdr:col>
      <xdr:colOff>468406</xdr:colOff>
      <xdr:row>32</xdr:row>
      <xdr:rowOff>106232</xdr:rowOff>
    </xdr:to>
    <xdr:sp macro="" textlink="">
      <xdr:nvSpPr>
        <xdr:cNvPr id="103" name="Rectangle 102"/>
        <xdr:cNvSpPr/>
      </xdr:nvSpPr>
      <xdr:spPr>
        <a:xfrm>
          <a:off x="17178618" y="5602343"/>
          <a:ext cx="1272988" cy="40938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DMI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38</xdr:col>
      <xdr:colOff>431053</xdr:colOff>
      <xdr:row>30</xdr:row>
      <xdr:rowOff>70223</xdr:rowOff>
    </xdr:from>
    <xdr:to>
      <xdr:col>41</xdr:col>
      <xdr:colOff>72465</xdr:colOff>
      <xdr:row>32</xdr:row>
      <xdr:rowOff>124012</xdr:rowOff>
    </xdr:to>
    <xdr:sp macro="" textlink="">
      <xdr:nvSpPr>
        <xdr:cNvPr id="104" name="Rectangle 103"/>
        <xdr:cNvSpPr/>
      </xdr:nvSpPr>
      <xdr:spPr>
        <a:xfrm>
          <a:off x="12927853" y="5620123"/>
          <a:ext cx="1470212" cy="409389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BILL ONLY</a:t>
          </a:r>
          <a:endParaRPr lang="en-US" sz="1400">
            <a:solidFill>
              <a:srgbClr val="FF8B00"/>
            </a:solidFill>
          </a:endParaRPr>
        </a:p>
      </xdr:txBody>
    </xdr:sp>
    <xdr:clientData/>
  </xdr:twoCellAnchor>
  <xdr:oneCellAnchor>
    <xdr:from>
      <xdr:col>49</xdr:col>
      <xdr:colOff>42731</xdr:colOff>
      <xdr:row>0</xdr:row>
      <xdr:rowOff>139700</xdr:rowOff>
    </xdr:from>
    <xdr:ext cx="1245419" cy="1409595"/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08331" y="139700"/>
          <a:ext cx="1245419" cy="1409595"/>
        </a:xfrm>
        <a:prstGeom prst="rect">
          <a:avLst/>
        </a:prstGeom>
      </xdr:spPr>
    </xdr:pic>
    <xdr:clientData/>
  </xdr:oneCellAnchor>
  <xdr:twoCellAnchor>
    <xdr:from>
      <xdr:col>48</xdr:col>
      <xdr:colOff>444500</xdr:colOff>
      <xdr:row>7</xdr:row>
      <xdr:rowOff>124691</xdr:rowOff>
    </xdr:from>
    <xdr:to>
      <xdr:col>51</xdr:col>
      <xdr:colOff>340360</xdr:colOff>
      <xdr:row>32</xdr:row>
      <xdr:rowOff>116541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037300" y="1585191"/>
          <a:ext cx="1724660" cy="4436850"/>
        </a:xfrm>
        <a:prstGeom prst="rect">
          <a:avLst/>
        </a:prstGeom>
        <a:solidFill>
          <a:srgbClr val="F4F5F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0052CC"/>
              </a:solidFill>
            </a:rPr>
            <a:t>Semana</a:t>
          </a:r>
        </a:p>
        <a:p>
          <a:pPr algn="ctr"/>
          <a:r>
            <a:rPr lang="en-US" sz="2400">
              <a:solidFill>
                <a:srgbClr val="0052CC"/>
              </a:solidFill>
            </a:rPr>
            <a:t> </a:t>
          </a:r>
          <a:br>
            <a:rPr lang="en-US" sz="2400">
              <a:solidFill>
                <a:srgbClr val="0052CC"/>
              </a:solidFill>
            </a:rPr>
          </a:br>
          <a:endParaRPr lang="en-US" sz="1400">
            <a:solidFill>
              <a:srgbClr val="FF8B00"/>
            </a:solidFill>
          </a:endParaRPr>
        </a:p>
      </xdr:txBody>
    </xdr:sp>
    <xdr:clientData/>
  </xdr:twoCellAnchor>
  <xdr:twoCellAnchor>
    <xdr:from>
      <xdr:col>49</xdr:col>
      <xdr:colOff>60852</xdr:colOff>
      <xdr:row>13</xdr:row>
      <xdr:rowOff>133654</xdr:rowOff>
    </xdr:from>
    <xdr:to>
      <xdr:col>51</xdr:col>
      <xdr:colOff>164693</xdr:colOff>
      <xdr:row>22</xdr:row>
      <xdr:rowOff>35043</xdr:rowOff>
    </xdr:to>
    <xdr:sp macro="" textlink="">
      <xdr:nvSpPr>
        <xdr:cNvPr id="115" name="TextBox 114"/>
        <xdr:cNvSpPr txBox="1"/>
      </xdr:nvSpPr>
      <xdr:spPr>
        <a:xfrm>
          <a:off x="19263252" y="2660954"/>
          <a:ext cx="1323041" cy="15015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 b="1" i="0" u="none" strike="noStrike">
              <a:solidFill>
                <a:srgbClr val="0052CC"/>
              </a:solidFill>
              <a:latin typeface="+mn-lt"/>
              <a:cs typeface="Calibri"/>
            </a:rPr>
            <a:t>30</a:t>
          </a:r>
        </a:p>
      </xdr:txBody>
    </xdr:sp>
    <xdr:clientData/>
  </xdr:twoCellAnchor>
  <xdr:twoCellAnchor>
    <xdr:from>
      <xdr:col>35</xdr:col>
      <xdr:colOff>38100</xdr:colOff>
      <xdr:row>4</xdr:row>
      <xdr:rowOff>130628</xdr:rowOff>
    </xdr:from>
    <xdr:to>
      <xdr:col>49</xdr:col>
      <xdr:colOff>24245</xdr:colOff>
      <xdr:row>30</xdr:row>
      <xdr:rowOff>30017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0.2047</cdr:x>
      <cdr:y>0.18787</cdr:y>
    </cdr:from>
    <cdr:to>
      <cdr:x>0.7461</cdr:x>
      <cdr:y>0.88444</cdr:y>
    </cdr:to>
    <cdr:grpSp>
      <cdr:nvGrpSpPr>
        <cdr:cNvPr id="2" name="Group 1"/>
        <cdr:cNvGrpSpPr/>
      </cdr:nvGrpSpPr>
      <cdr:grpSpPr>
        <a:xfrm xmlns:a="http://schemas.openxmlformats.org/drawingml/2006/main">
          <a:off x="1452990" y="1035688"/>
          <a:ext cx="3842936" cy="3840043"/>
          <a:chOff x="-249723" y="494811"/>
          <a:chExt cx="4612969" cy="3183293"/>
        </a:xfrm>
      </cdr:grpSpPr>
      <cdr:sp macro="" textlink="">
        <cdr:nvSpPr>
          <cdr:cNvPr id="3" name="TextBox 44"/>
          <cdr:cNvSpPr txBox="1"/>
        </cdr:nvSpPr>
        <cdr:spPr>
          <a:xfrm xmlns:a="http://schemas.openxmlformats.org/drawingml/2006/main">
            <a:off x="1606260" y="494811"/>
            <a:ext cx="927592" cy="264943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1143E21-E731-41BE-959E-7E1CFDEA08E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cdr:txBody>
      </cdr:sp>
      <cdr:sp macro="" textlink="">
        <cdr:nvSpPr>
          <cdr:cNvPr id="4" name="TextBox 45"/>
          <cdr:cNvSpPr txBox="1"/>
        </cdr:nvSpPr>
        <cdr:spPr>
          <a:xfrm xmlns:a="http://schemas.openxmlformats.org/drawingml/2006/main">
            <a:off x="-249723" y="1178504"/>
            <a:ext cx="923690" cy="349786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113BC71-007E-4E4E-9BA6-74FC920F05FF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cdr:txBody>
      </cdr:sp>
      <cdr:sp macro="" textlink="">
        <cdr:nvSpPr>
          <cdr:cNvPr id="5" name="TextBox 46"/>
          <cdr:cNvSpPr txBox="1"/>
        </cdr:nvSpPr>
        <cdr:spPr>
          <a:xfrm xmlns:a="http://schemas.openxmlformats.org/drawingml/2006/main">
            <a:off x="3444314" y="1040899"/>
            <a:ext cx="918932" cy="37345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EE2FBC3-D494-4007-A27C-4CA67AD863E0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cdr:txBody>
      </cdr:sp>
      <cdr:sp macro="" textlink="">
        <cdr:nvSpPr>
          <cdr:cNvPr id="6" name="TextBox 47"/>
          <cdr:cNvSpPr txBox="1"/>
        </cdr:nvSpPr>
        <cdr:spPr>
          <a:xfrm xmlns:a="http://schemas.openxmlformats.org/drawingml/2006/main">
            <a:off x="-194994" y="2253922"/>
            <a:ext cx="995299" cy="221878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BD8A711-08E1-44BE-B9ED-F377DA0AF402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cdr:txBody>
      </cdr:sp>
      <cdr:sp macro="" textlink="">
        <cdr:nvSpPr>
          <cdr:cNvPr id="7" name="TextBox 48"/>
          <cdr:cNvSpPr txBox="1"/>
        </cdr:nvSpPr>
        <cdr:spPr>
          <a:xfrm xmlns:a="http://schemas.openxmlformats.org/drawingml/2006/main">
            <a:off x="1864179" y="3384334"/>
            <a:ext cx="968189" cy="29377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5936B5-DC84-44A1-A72C-9295EFDEEAB4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50%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cdr:txBody>
      </cdr:sp>
      <cdr:sp macro="" textlink="">
        <cdr:nvSpPr>
          <cdr:cNvPr id="8" name="TextBox 49"/>
          <cdr:cNvSpPr txBox="1"/>
        </cdr:nvSpPr>
        <cdr:spPr>
          <a:xfrm xmlns:a="http://schemas.openxmlformats.org/drawingml/2006/main">
            <a:off x="3558940" y="2262387"/>
            <a:ext cx="761999" cy="257553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145218B-6F85-4DA5-A436-9AA4748DB42E}" type="TxLink">
              <a:rPr kumimoji="0" lang="en-US" sz="1800" b="1" i="0" u="none" strike="noStrike" kern="0" cap="none" spc="0" normalizeH="0" baseline="0" noProof="0" smtClean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50%</a:t>
            </a:fld>
            <a:endParaRPr kumimoji="0" lang="en-US" sz="1800" b="1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cdr:txBody>
      </cdr:sp>
    </cdr:grp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65173</xdr:colOff>
      <xdr:row>0</xdr:row>
      <xdr:rowOff>63166</xdr:rowOff>
    </xdr:from>
    <xdr:to>
      <xdr:col>1</xdr:col>
      <xdr:colOff>738941</xdr:colOff>
      <xdr:row>1</xdr:row>
      <xdr:rowOff>106829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033" y="63166"/>
          <a:ext cx="673768" cy="5923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748632</xdr:colOff>
      <xdr:row>0</xdr:row>
      <xdr:rowOff>82551</xdr:rowOff>
    </xdr:from>
    <xdr:ext cx="1412677" cy="53065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152492" y="82551"/>
          <a:ext cx="141267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/>
            <a:t>Formato</a:t>
          </a:r>
          <a:r>
            <a:rPr lang="en-US" sz="1400" b="1" baseline="0"/>
            <a:t> </a:t>
          </a:r>
        </a:p>
        <a:p>
          <a:r>
            <a:rPr lang="en-US" sz="1400" b="1" baseline="0"/>
            <a:t>Auditoria 5's</a:t>
          </a:r>
          <a:endParaRPr lang="en-US" sz="1400" b="1"/>
        </a:p>
      </xdr:txBody>
    </xdr:sp>
    <xdr:clientData/>
  </xdr:oneCellAnchor>
  <xdr:oneCellAnchor>
    <xdr:from>
      <xdr:col>1</xdr:col>
      <xdr:colOff>57150</xdr:colOff>
      <xdr:row>42</xdr:row>
      <xdr:rowOff>114300</xdr:rowOff>
    </xdr:from>
    <xdr:ext cx="2011833" cy="436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461010" y="963168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Auditor</a:t>
          </a:r>
          <a:endParaRPr lang="en-US" sz="1100" b="0"/>
        </a:p>
      </xdr:txBody>
    </xdr:sp>
    <xdr:clientData/>
  </xdr:oneCellAnchor>
  <xdr:oneCellAnchor>
    <xdr:from>
      <xdr:col>4</xdr:col>
      <xdr:colOff>519084</xdr:colOff>
      <xdr:row>42</xdr:row>
      <xdr:rowOff>139700</xdr:rowOff>
    </xdr:from>
    <xdr:ext cx="2011833" cy="436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6683664" y="965708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Supervisor de Area</a:t>
          </a:r>
          <a:endParaRPr lang="en-US" sz="1100" b="0"/>
        </a:p>
      </xdr:txBody>
    </xdr:sp>
    <xdr:clientData/>
  </xdr:oneCellAnchor>
  <xdr:oneCellAnchor>
    <xdr:from>
      <xdr:col>2</xdr:col>
      <xdr:colOff>515620</xdr:colOff>
      <xdr:row>42</xdr:row>
      <xdr:rowOff>133350</xdr:rowOff>
    </xdr:from>
    <xdr:ext cx="2011833" cy="43678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3197860" y="9650730"/>
          <a:ext cx="201183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__________________________</a:t>
          </a:r>
          <a:br>
            <a:rPr lang="en-US" sz="1100"/>
          </a:br>
          <a:r>
            <a:rPr lang="en-US" sz="1100" baseline="0"/>
            <a:t>             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Assistant Manager</a:t>
          </a:r>
          <a:endParaRPr lang="en-US" sz="1100" b="0"/>
        </a:p>
      </xdr:txBody>
    </xdr:sp>
    <xdr:clientData/>
  </xdr:oneCellAnchor>
  <xdr:twoCellAnchor>
    <xdr:from>
      <xdr:col>8</xdr:col>
      <xdr:colOff>332510</xdr:colOff>
      <xdr:row>14</xdr:row>
      <xdr:rowOff>13854</xdr:rowOff>
    </xdr:from>
    <xdr:to>
      <xdr:col>16</xdr:col>
      <xdr:colOff>13855</xdr:colOff>
      <xdr:row>40</xdr:row>
      <xdr:rowOff>471054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  <a:ext uri="{147F2762-F138-4A5C-976F-8EAC2B608ADB}">
              <a16:predDERef xmlns:a16="http://schemas.microsoft.com/office/drawing/2014/main" pre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ipping/6.%20Macro%20Flejadas/Tarimas%20flejadas%20v.1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cprdfp1\Public\DO's\Dashboard%20DO's%20v1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_1"/>
      <sheetName val="Dashboard"/>
      <sheetName val="Prueba Chart"/>
      <sheetName val="2023"/>
      <sheetName val="2023_data"/>
      <sheetName val="PIV"/>
      <sheetName val="Relacion Puntos"/>
      <sheetName val="Sheet1"/>
      <sheetName val="Tarimas Empalmes"/>
      <sheetName val="Resultados"/>
      <sheetName val="Mayo2023"/>
      <sheetName val="ShippingSystem"/>
      <sheetName val="ABR23"/>
      <sheetName val="Template"/>
      <sheetName val="Sheet5"/>
      <sheetName val="Cargas"/>
    </sheetNames>
    <sheetDataSet>
      <sheetData sheetId="0" refreshError="1"/>
      <sheetData sheetId="1">
        <row r="2">
          <cell r="K2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entacion"/>
      <sheetName val="Dashboard"/>
      <sheetName val="Calculos"/>
      <sheetName val="Trans_History"/>
      <sheetName val="Pickeos"/>
      <sheetName val="ENVIOS DO'S PIV"/>
      <sheetName val="ENVIOS DO'S"/>
      <sheetName val="PIV"/>
      <sheetName val="ORDENES DO'S"/>
    </sheetNames>
    <sheetDataSet>
      <sheetData sheetId="0"/>
      <sheetData sheetId="1">
        <row r="2">
          <cell r="E2">
            <v>45123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utierrez, Diego" refreshedDate="45123.634965625002" createdVersion="6" refreshedVersion="6" minRefreshableVersion="3" recordCount="19">
  <cacheSource type="worksheet">
    <worksheetSource name="Table22"/>
  </cacheSource>
  <cacheFields count="6">
    <cacheField name="Codigo" numFmtId="0">
      <sharedItems/>
    </cacheField>
    <cacheField name="Categoria" numFmtId="0">
      <sharedItems count="6">
        <s v="Orden"/>
        <s v="Limpieza"/>
        <s v="Seguridad"/>
        <s v="Estandarizado"/>
        <s v="Clasificado"/>
        <s v="Disciplina"/>
      </sharedItems>
    </cacheField>
    <cacheField name="Clasificar" numFmtId="0">
      <sharedItems count="18">
        <s v="Tarimas saliendo de locaciones"/>
        <s v="Pallets encimados"/>
        <s v="Basura en locaciones"/>
        <s v="Salida de Emergencia bloqueada"/>
        <s v="Etiqueta dañada o faltante"/>
        <s v="Todo el personal utiliza su equipo de proteccion personal designado (chaleco, zapatos)"/>
        <s v="Hta se encuentran en las areas designadas"/>
        <s v="fleje o esquineros"/>
        <s v="Hay locaciones con material sin caja, con caja abierta ó expuesto (fuera de bolsa/bolsa rasgada)"/>
        <s v="Hta fuera de lugar "/>
        <s v="Multiples etiquetas de material o sin ella"/>
        <s v="Botes de basura rebasados"/>
        <s v="Objetos bloqueando pasillo"/>
        <s v="Tarimas vacias o recargadas en pasillo"/>
        <s v="Gaylord/caja con ventanas y/o cortes"/>
        <s v="El Pizarron de 5s esta en buen estado y auditoria esta actualizada."/>
        <s v="Locaciones con tarimas o cajas por caer."/>
        <s v="Material en piso o sin tarima"/>
      </sharedItems>
    </cacheField>
    <cacheField name="Eventos" numFmtId="0">
      <sharedItems containsSemiMixedTypes="0" containsString="0" containsNumber="1" containsInteger="1" minValue="0" maxValue="15"/>
    </cacheField>
    <cacheField name="%" numFmtId="9">
      <sharedItems containsSemiMixedTypes="0" containsString="0" containsNumber="1" minValue="0" maxValue="0.18518518518518517"/>
    </cacheField>
    <cacheField name="Acumulado" numFmtId="9">
      <sharedItems containsSemiMixedTypes="0" containsString="0" containsNumber="1" minValue="0.18518518518518517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utierrez, Diego" refreshedDate="45142.695841550929" createdVersion="6" refreshedVersion="6" minRefreshableVersion="3" recordCount="19">
  <cacheSource type="worksheet">
    <worksheetSource name="Table4"/>
  </cacheSource>
  <cacheFields count="5">
    <cacheField name="Categoria" numFmtId="0">
      <sharedItems count="6">
        <s v="Ordenar"/>
        <s v="Limpiar"/>
        <s v="Disciplina"/>
        <s v="Estandarizar"/>
        <s v="Clasificar"/>
        <s v="Seguridad"/>
      </sharedItems>
    </cacheField>
    <cacheField name="Clasificar" numFmtId="0">
      <sharedItems count="18">
        <s v="Tarimas saliendo de locaciones"/>
        <s v="Tarimas Vacias en locacion o recargadas en pasillo"/>
        <s v="El Pizarron de 5s esta en buen estado y auditoria esta actualizada."/>
        <s v="Objetos Bloqueando Pasillos"/>
        <s v="Botes de basura rebasados"/>
        <s v="Multiples etiquetas de material o sin ella"/>
        <s v="Hta se encuentran en las areas designadas"/>
        <s v="Material en piso o sin tarima"/>
        <s v="Pallets encimados"/>
        <s v="Gaylord/caja con ventanas y/o cortes. "/>
        <s v="fleje o esquineros"/>
        <s v="Basura en locaciones"/>
        <s v="Salida de Emergencia bloqueada"/>
        <s v="Todo el personal utiliza su equipo de proteccion personal designado (chaleco, zapatos)"/>
        <s v="Escaleras, Pallet Jacks, Tarimas Montacargas, Charolas, Bote de Basura, en su lugar"/>
        <s v="Hay locaciones con material sin caja, con caja abierta ó expuesto (fuera de bolsa/bolsa rasgada)"/>
        <s v="Etiqueta dañada o faltante"/>
        <s v="Locaciones con tarimas o cajas por caer."/>
      </sharedItems>
    </cacheField>
    <cacheField name="Aud1" numFmtId="0">
      <sharedItems containsSemiMixedTypes="0" containsString="0" containsNumber="1" containsInteger="1" minValue="0" maxValue="4"/>
    </cacheField>
    <cacheField name="%" numFmtId="9">
      <sharedItems containsSemiMixedTypes="0" containsString="0" containsNumber="1" minValue="0" maxValue="0.13333333333333333"/>
    </cacheField>
    <cacheField name="Acumulado" numFmtId="9">
      <sharedItems containsSemiMixedTypes="0" containsString="0" containsNumber="1" minValue="0.13333333333333333" maxValue="0.999999999999999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Gutierrez, Diego" refreshedDate="45145.372904976852" createdVersion="6" refreshedVersion="6" minRefreshableVersion="3" recordCount="12">
  <cacheSource type="worksheet">
    <worksheetSource ref="B4:AM16" sheet="Consulta acomulado"/>
  </cacheSource>
  <cacheFields count="38">
    <cacheField name="Semana" numFmtId="0">
      <sharedItems containsSemiMixedTypes="0" containsString="0" containsNumber="1" containsInteger="1" minValue="31" maxValue="33"/>
    </cacheField>
    <cacheField name="No.Auditoria" numFmtId="0">
      <sharedItems containsSemiMixedTypes="0" containsString="0" containsNumber="1" containsInteger="1" minValue="1" maxValue="2"/>
    </cacheField>
    <cacheField name="Fecha" numFmtId="14">
      <sharedItems containsSemiMixedTypes="0" containsNonDate="0" containsDate="1" containsString="0" minDate="2023-08-01T00:00:00" maxDate="2023-08-10T00:00:00"/>
    </cacheField>
    <cacheField name="Pasillo" numFmtId="0">
      <sharedItems/>
    </cacheField>
    <cacheField name="Auditor" numFmtId="0">
      <sharedItems/>
    </cacheField>
    <cacheField name="Id Secuencial" numFmtId="0">
      <sharedItems containsSemiMixedTypes="0" containsString="0" containsNumber="1" containsInteger="1" minValue="1" maxValue="12"/>
    </cacheField>
    <cacheField name="Codigo 1" numFmtId="0">
      <sharedItems containsSemiMixedTypes="0" containsString="0" containsNumber="1" containsInteger="1" minValue="0" maxValue="3"/>
    </cacheField>
    <cacheField name="Codigo 2" numFmtId="0">
      <sharedItems containsSemiMixedTypes="0" containsString="0" containsNumber="1" containsInteger="1" minValue="0" maxValue="4"/>
    </cacheField>
    <cacheField name="Codigo 3" numFmtId="0">
      <sharedItems containsSemiMixedTypes="0" containsString="0" containsNumber="1" containsInteger="1" minValue="0" maxValue="4"/>
    </cacheField>
    <cacheField name="Codigo 4" numFmtId="0">
      <sharedItems containsSemiMixedTypes="0" containsString="0" containsNumber="1" containsInteger="1" minValue="0" maxValue="4"/>
    </cacheField>
    <cacheField name="Codigo 5" numFmtId="0">
      <sharedItems containsSemiMixedTypes="0" containsString="0" containsNumber="1" containsInteger="1" minValue="0" maxValue="4"/>
    </cacheField>
    <cacheField name="Codigo 6" numFmtId="0">
      <sharedItems containsSemiMixedTypes="0" containsString="0" containsNumber="1" containsInteger="1" minValue="0" maxValue="4"/>
    </cacheField>
    <cacheField name="Codigo 7" numFmtId="0">
      <sharedItems containsSemiMixedTypes="0" containsString="0" containsNumber="1" containsInteger="1" minValue="1" maxValue="4"/>
    </cacheField>
    <cacheField name="Codigo 8" numFmtId="0">
      <sharedItems containsSemiMixedTypes="0" containsString="0" containsNumber="1" containsInteger="1" minValue="0" maxValue="4"/>
    </cacheField>
    <cacheField name="Codigo 9" numFmtId="0">
      <sharedItems containsSemiMixedTypes="0" containsString="0" containsNumber="1" containsInteger="1" minValue="0" maxValue="4"/>
    </cacheField>
    <cacheField name="Codigo 10" numFmtId="0">
      <sharedItems containsSemiMixedTypes="0" containsString="0" containsNumber="1" containsInteger="1" minValue="0" maxValue="3"/>
    </cacheField>
    <cacheField name="Codigo 11" numFmtId="0">
      <sharedItems containsSemiMixedTypes="0" containsString="0" containsNumber="1" containsInteger="1" minValue="0" maxValue="4"/>
    </cacheField>
    <cacheField name="Codigo 12" numFmtId="0">
      <sharedItems containsSemiMixedTypes="0" containsString="0" containsNumber="1" containsInteger="1" minValue="0" maxValue="4"/>
    </cacheField>
    <cacheField name="Codigo 13" numFmtId="0">
      <sharedItems containsSemiMixedTypes="0" containsString="0" containsNumber="1" containsInteger="1" minValue="0" maxValue="3"/>
    </cacheField>
    <cacheField name="Codigo 14" numFmtId="0">
      <sharedItems containsSemiMixedTypes="0" containsString="0" containsNumber="1" containsInteger="1" minValue="0" maxValue="4"/>
    </cacheField>
    <cacheField name="Codigo 15" numFmtId="0">
      <sharedItems containsSemiMixedTypes="0" containsString="0" containsNumber="1" containsInteger="1" minValue="0" maxValue="4"/>
    </cacheField>
    <cacheField name="Codigo 16" numFmtId="0">
      <sharedItems containsSemiMixedTypes="0" containsString="0" containsNumber="1" containsInteger="1" minValue="0" maxValue="4"/>
    </cacheField>
    <cacheField name="Codigo 17" numFmtId="0">
      <sharedItems containsSemiMixedTypes="0" containsString="0" containsNumber="1" containsInteger="1" minValue="0" maxValue="4"/>
    </cacheField>
    <cacheField name="Codigo 18" numFmtId="0">
      <sharedItems containsSemiMixedTypes="0" containsString="0" containsNumber="1" containsInteger="1" minValue="0" maxValue="4"/>
    </cacheField>
    <cacheField name="Codigo 19" numFmtId="0">
      <sharedItems containsSemiMixedTypes="0" containsString="0" containsNumber="1" containsInteger="1" minValue="0" maxValue="4"/>
    </cacheField>
    <cacheField name="Total" numFmtId="1">
      <sharedItems containsSemiMixedTypes="0" containsString="0" containsNumber="1" containsInteger="1" minValue="30" maxValue="49"/>
    </cacheField>
    <cacheField name="Categoria 1" numFmtId="0">
      <sharedItems containsSemiMixedTypes="0" containsString="0" containsNumber="1" containsInteger="1" minValue="1" maxValue="7" count="7">
        <n v="7"/>
        <n v="4"/>
        <n v="6"/>
        <n v="5"/>
        <n v="1"/>
        <n v="3"/>
        <n v="2"/>
      </sharedItems>
    </cacheField>
    <cacheField name="Categoria 2" numFmtId="1">
      <sharedItems containsSemiMixedTypes="0" containsString="0" containsNumber="1" containsInteger="1" minValue="3" maxValue="10"/>
    </cacheField>
    <cacheField name="Categoria 3" numFmtId="1">
      <sharedItems containsSemiMixedTypes="0" containsString="0" containsNumber="1" containsInteger="1" minValue="10" maxValue="19"/>
    </cacheField>
    <cacheField name="Categoria 4" numFmtId="0">
      <sharedItems containsSemiMixedTypes="0" containsString="0" containsNumber="1" containsInteger="1" minValue="2" maxValue="7"/>
    </cacheField>
    <cacheField name="Categoria 5" numFmtId="1">
      <sharedItems containsSemiMixedTypes="0" containsString="0" containsNumber="1" containsInteger="1" minValue="2" maxValue="7"/>
    </cacheField>
    <cacheField name="Categoria 6" numFmtId="1">
      <sharedItems containsSemiMixedTypes="0" containsString="0" containsNumber="1" containsInteger="1" minValue="0" maxValue="6"/>
    </cacheField>
    <cacheField name="Cat 1 %" numFmtId="9">
      <sharedItems containsSemiMixedTypes="0" containsString="0" containsNumber="1" minValue="2.5000000000000001E-2" maxValue="0.17499999999999999"/>
    </cacheField>
    <cacheField name="Cat 2 %" numFmtId="9">
      <sharedItems containsSemiMixedTypes="0" containsString="0" containsNumber="1" minValue="7.4999999999999997E-2" maxValue="0.25"/>
    </cacheField>
    <cacheField name="Cat 3 %" numFmtId="9">
      <sharedItems containsSemiMixedTypes="0" containsString="0" containsNumber="1" minValue="0.25" maxValue="0.47499999999999998"/>
    </cacheField>
    <cacheField name="Cat 4 %" numFmtId="9">
      <sharedItems containsSemiMixedTypes="0" containsString="0" containsNumber="1" minValue="0.05" maxValue="0.17499999999999999"/>
    </cacheField>
    <cacheField name="Cat 5 %" numFmtId="9">
      <sharedItems containsSemiMixedTypes="0" containsString="0" containsNumber="1" minValue="0.05" maxValue="0.17499999999999999"/>
    </cacheField>
    <cacheField name="Cat 6 %" numFmtId="9">
      <sharedItems containsSemiMixedTypes="0" containsString="0" containsNumber="1" minValue="0" maxValue="0.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Gutierrez, Diego" refreshedDate="45145.41199872685" createdVersion="6" refreshedVersion="6" minRefreshableVersion="3" recordCount="19">
  <cacheSource type="worksheet">
    <worksheetSource name="Catergorias_acomulado"/>
  </cacheSource>
  <cacheFields count="6">
    <cacheField name="No.Defecto" numFmtId="0">
      <sharedItems containsSemiMixedTypes="0" containsString="0" containsNumber="1" containsInteger="1" minValue="1" maxValue="19"/>
    </cacheField>
    <cacheField name="Categoria" numFmtId="0">
      <sharedItems count="6">
        <s v="Seguridad"/>
        <s v="Estandarizar"/>
        <s v="Disciplina"/>
        <s v="Limpiar"/>
        <s v="Ordenar"/>
        <s v="Clasificar"/>
      </sharedItems>
    </cacheField>
    <cacheField name="Clasificar" numFmtId="0">
      <sharedItems count="18">
        <s v="Locaciones con tarimas o cajas por caer."/>
        <s v="Etiqueta dañada o faltante"/>
        <s v="El Pizarron de 5s esta en buen estado y auditoria esta actualizada."/>
        <s v="Botes de basura rebasados"/>
        <s v="Gaylord/caja con ventanas y/o cortes. "/>
        <s v="Material en piso o sin tarima"/>
        <s v="Escaleras, Pallet Jacks, Tarimas Montacargas, Charolas, Bote de Basura, en su lugar"/>
        <s v="Objetos Bloqueando Pasillos"/>
        <s v="Pallets encimados"/>
        <s v="Multiples etiquetas de material o sin ella"/>
        <s v="Tarimas Vacias en locacion o recargadas en pasillo"/>
        <s v="Basura en locaciones"/>
        <s v="Tarimas saliendo de locaciones"/>
        <s v="Hay locaciones con material sin caja, con caja abierta ó expuesto (fuera de bolsa/bolsa rasgada)"/>
        <s v="Salida de Emergencia bloqueada"/>
        <s v="Todo el personal utiliza su equipo de proteccion personal designado (chaleco, zapatos)"/>
        <s v="Hta se encuentran en las areas designadas"/>
        <s v="fleje o esquineros"/>
      </sharedItems>
    </cacheField>
    <cacheField name="Aud1y2" numFmtId="0">
      <sharedItems containsSemiMixedTypes="0" containsString="0" containsNumber="1" containsInteger="1" minValue="20" maxValue="34"/>
    </cacheField>
    <cacheField name="%" numFmtId="9">
      <sharedItems containsSemiMixedTypes="0" containsString="0" containsNumber="1" minValue="4.1666666666666664E-2" maxValue="7.0833333333333331E-2"/>
    </cacheField>
    <cacheField name="Acumulado" numFmtId="9">
      <sharedItems containsSemiMixedTypes="0" containsString="0" containsNumber="1" minValue="7.0833333333333331E-2" maxValue="0.999999999999999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s v="O"/>
    <x v="0"/>
    <x v="0"/>
    <n v="15"/>
    <n v="0.18518518518518517"/>
    <n v="0.18518518518518517"/>
  </r>
  <r>
    <s v="L"/>
    <x v="1"/>
    <x v="1"/>
    <n v="9"/>
    <n v="0.1111111111111111"/>
    <n v="0.29629629629629628"/>
  </r>
  <r>
    <s v="L"/>
    <x v="1"/>
    <x v="2"/>
    <n v="7"/>
    <n v="8.6419753086419748E-2"/>
    <n v="0.38271604938271603"/>
  </r>
  <r>
    <s v="S"/>
    <x v="2"/>
    <x v="3"/>
    <n v="7"/>
    <n v="8.6419753086419748E-2"/>
    <n v="0.46913580246913578"/>
  </r>
  <r>
    <s v="E"/>
    <x v="3"/>
    <x v="4"/>
    <n v="6"/>
    <n v="7.407407407407407E-2"/>
    <n v="0.54320987654320985"/>
  </r>
  <r>
    <s v="S"/>
    <x v="2"/>
    <x v="5"/>
    <n v="6"/>
    <n v="7.407407407407407E-2"/>
    <n v="0.61728395061728392"/>
  </r>
  <r>
    <s v="C"/>
    <x v="4"/>
    <x v="6"/>
    <n v="5"/>
    <n v="6.1728395061728392E-2"/>
    <n v="0.67901234567901225"/>
  </r>
  <r>
    <s v="L"/>
    <x v="1"/>
    <x v="7"/>
    <n v="5"/>
    <n v="6.1728395061728392E-2"/>
    <n v="0.7407407407407407"/>
  </r>
  <r>
    <s v="L"/>
    <x v="1"/>
    <x v="8"/>
    <n v="5"/>
    <n v="6.1728395061728392E-2"/>
    <n v="0.80246913580246915"/>
  </r>
  <r>
    <s v="C"/>
    <x v="4"/>
    <x v="9"/>
    <n v="4"/>
    <n v="4.9382716049382713E-2"/>
    <n v="0.85185185185185186"/>
  </r>
  <r>
    <s v="E"/>
    <x v="3"/>
    <x v="10"/>
    <n v="4"/>
    <n v="4.9382716049382713E-2"/>
    <n v="0.90123456790123457"/>
  </r>
  <r>
    <s v="L"/>
    <x v="1"/>
    <x v="11"/>
    <n v="3"/>
    <n v="3.7037037037037035E-2"/>
    <n v="0.93827160493827155"/>
  </r>
  <r>
    <s v="O"/>
    <x v="0"/>
    <x v="12"/>
    <n v="2"/>
    <n v="2.4691358024691357E-2"/>
    <n v="0.96296296296296291"/>
  </r>
  <r>
    <s v="L"/>
    <x v="1"/>
    <x v="13"/>
    <n v="2"/>
    <n v="2.4691358024691357E-2"/>
    <n v="0.98765432098765427"/>
  </r>
  <r>
    <s v="L"/>
    <x v="1"/>
    <x v="14"/>
    <n v="1"/>
    <n v="1.2345679012345678E-2"/>
    <n v="1"/>
  </r>
  <r>
    <s v="D"/>
    <x v="5"/>
    <x v="15"/>
    <n v="0"/>
    <n v="0"/>
    <n v="1"/>
  </r>
  <r>
    <s v="D"/>
    <x v="5"/>
    <x v="15"/>
    <n v="0"/>
    <n v="0"/>
    <n v="1"/>
  </r>
  <r>
    <s v="S"/>
    <x v="2"/>
    <x v="16"/>
    <n v="0"/>
    <n v="0"/>
    <n v="1"/>
  </r>
  <r>
    <s v="O"/>
    <x v="0"/>
    <x v="17"/>
    <n v="0"/>
    <n v="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">
  <r>
    <x v="0"/>
    <x v="0"/>
    <n v="4"/>
    <n v="0.13333333333333333"/>
    <n v="0.13333333333333333"/>
  </r>
  <r>
    <x v="1"/>
    <x v="1"/>
    <n v="4"/>
    <n v="0.13333333333333333"/>
    <n v="0.26666666666666666"/>
  </r>
  <r>
    <x v="2"/>
    <x v="2"/>
    <n v="4"/>
    <n v="0.13333333333333333"/>
    <n v="0.4"/>
  </r>
  <r>
    <x v="0"/>
    <x v="3"/>
    <n v="3"/>
    <n v="0.1"/>
    <n v="0.5"/>
  </r>
  <r>
    <x v="2"/>
    <x v="2"/>
    <n v="3"/>
    <n v="0.1"/>
    <n v="0.6"/>
  </r>
  <r>
    <x v="1"/>
    <x v="4"/>
    <n v="2"/>
    <n v="6.6666666666666666E-2"/>
    <n v="0.66666666666666663"/>
  </r>
  <r>
    <x v="3"/>
    <x v="5"/>
    <n v="2"/>
    <n v="6.6666666666666666E-2"/>
    <n v="0.73333333333333328"/>
  </r>
  <r>
    <x v="4"/>
    <x v="6"/>
    <n v="1"/>
    <n v="3.3333333333333333E-2"/>
    <n v="0.76666666666666661"/>
  </r>
  <r>
    <x v="0"/>
    <x v="7"/>
    <n v="1"/>
    <n v="3.3333333333333333E-2"/>
    <n v="0.79999999999999993"/>
  </r>
  <r>
    <x v="1"/>
    <x v="8"/>
    <n v="1"/>
    <n v="3.3333333333333333E-2"/>
    <n v="0.83333333333333326"/>
  </r>
  <r>
    <x v="1"/>
    <x v="9"/>
    <n v="1"/>
    <n v="3.3333333333333333E-2"/>
    <n v="0.86666666666666659"/>
  </r>
  <r>
    <x v="1"/>
    <x v="10"/>
    <n v="1"/>
    <n v="3.3333333333333333E-2"/>
    <n v="0.89999999999999991"/>
  </r>
  <r>
    <x v="1"/>
    <x v="11"/>
    <n v="1"/>
    <n v="3.3333333333333333E-2"/>
    <n v="0.93333333333333324"/>
  </r>
  <r>
    <x v="5"/>
    <x v="12"/>
    <n v="1"/>
    <n v="3.3333333333333333E-2"/>
    <n v="0.96666666666666656"/>
  </r>
  <r>
    <x v="5"/>
    <x v="13"/>
    <n v="1"/>
    <n v="3.3333333333333333E-2"/>
    <n v="0.99999999999999989"/>
  </r>
  <r>
    <x v="4"/>
    <x v="14"/>
    <n v="0"/>
    <n v="0"/>
    <n v="0.99999999999999989"/>
  </r>
  <r>
    <x v="1"/>
    <x v="15"/>
    <n v="0"/>
    <n v="0"/>
    <n v="0.99999999999999989"/>
  </r>
  <r>
    <x v="3"/>
    <x v="16"/>
    <n v="0"/>
    <n v="0"/>
    <n v="0.99999999999999989"/>
  </r>
  <r>
    <x v="5"/>
    <x v="17"/>
    <n v="0"/>
    <n v="0"/>
    <n v="0.9999999999999998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">
  <r>
    <n v="31"/>
    <n v="1"/>
    <d v="2023-08-01T00:00:00"/>
    <s v="S37-38"/>
    <s v="Mario Varela"/>
    <n v="1"/>
    <n v="3"/>
    <n v="4"/>
    <n v="3"/>
    <n v="1"/>
    <n v="2"/>
    <n v="0"/>
    <n v="2"/>
    <n v="4"/>
    <n v="0"/>
    <n v="3"/>
    <n v="2"/>
    <n v="3"/>
    <n v="2"/>
    <n v="0"/>
    <n v="2"/>
    <n v="1"/>
    <n v="4"/>
    <n v="0"/>
    <n v="1"/>
    <n v="37"/>
    <x v="0"/>
    <n v="6"/>
    <n v="14"/>
    <n v="4"/>
    <n v="2"/>
    <n v="1"/>
    <n v="0.17499999999999999"/>
    <n v="0.15"/>
    <n v="0.35"/>
    <n v="0.1"/>
    <n v="0.05"/>
    <n v="2.5000000000000001E-2"/>
  </r>
  <r>
    <n v="31"/>
    <n v="1"/>
    <d v="2023-08-01T00:00:00"/>
    <s v="S39-40"/>
    <s v="Mario Varela"/>
    <n v="2"/>
    <n v="3"/>
    <n v="1"/>
    <n v="3"/>
    <n v="2"/>
    <n v="0"/>
    <n v="3"/>
    <n v="2"/>
    <n v="4"/>
    <n v="3"/>
    <n v="1"/>
    <n v="2"/>
    <n v="4"/>
    <n v="1"/>
    <n v="2"/>
    <n v="0"/>
    <n v="2"/>
    <n v="4"/>
    <n v="1"/>
    <n v="2"/>
    <n v="40"/>
    <x v="1"/>
    <n v="5"/>
    <n v="19"/>
    <n v="5"/>
    <n v="3"/>
    <n v="3"/>
    <n v="0.1"/>
    <n v="0.125"/>
    <n v="0.47499999999999998"/>
    <n v="0.125"/>
    <n v="7.4999999999999997E-2"/>
    <n v="7.4999999999999997E-2"/>
  </r>
  <r>
    <n v="31"/>
    <n v="2"/>
    <d v="2023-08-04T00:00:00"/>
    <s v="S37-38"/>
    <s v="Mario Varela"/>
    <n v="3"/>
    <n v="3"/>
    <n v="3"/>
    <n v="1"/>
    <n v="4"/>
    <n v="3"/>
    <n v="2"/>
    <n v="1"/>
    <n v="3"/>
    <n v="4"/>
    <n v="1"/>
    <n v="1"/>
    <n v="1"/>
    <n v="3"/>
    <n v="4"/>
    <n v="4"/>
    <n v="1"/>
    <n v="4"/>
    <n v="3"/>
    <n v="3"/>
    <n v="49"/>
    <x v="2"/>
    <n v="8"/>
    <n v="13"/>
    <n v="4"/>
    <n v="7"/>
    <n v="6"/>
    <n v="0.15"/>
    <n v="0.2"/>
    <n v="0.32500000000000001"/>
    <n v="0.1"/>
    <n v="0.17499999999999999"/>
    <n v="0.15"/>
  </r>
  <r>
    <n v="31"/>
    <n v="2"/>
    <d v="2023-08-04T00:00:00"/>
    <s v="S39-40"/>
    <s v="Mario Varela"/>
    <n v="4"/>
    <n v="2"/>
    <n v="3"/>
    <n v="3"/>
    <n v="3"/>
    <n v="4"/>
    <n v="2"/>
    <n v="2"/>
    <n v="1"/>
    <n v="1"/>
    <n v="1"/>
    <n v="3"/>
    <n v="1"/>
    <n v="3"/>
    <n v="2"/>
    <n v="4"/>
    <n v="1"/>
    <n v="3"/>
    <n v="4"/>
    <n v="1"/>
    <n v="44"/>
    <x v="3"/>
    <n v="10"/>
    <n v="11"/>
    <n v="5"/>
    <n v="5"/>
    <n v="5"/>
    <n v="0.125"/>
    <n v="0.25"/>
    <n v="0.27500000000000002"/>
    <n v="0.125"/>
    <n v="0.125"/>
    <n v="0.125"/>
  </r>
  <r>
    <n v="32"/>
    <n v="1"/>
    <d v="2023-08-01T00:00:00"/>
    <s v="S33-34"/>
    <s v="Carlos Dominguez"/>
    <n v="5"/>
    <n v="1"/>
    <n v="0"/>
    <n v="3"/>
    <n v="4"/>
    <n v="1"/>
    <n v="4"/>
    <n v="1"/>
    <n v="2"/>
    <n v="1"/>
    <n v="1"/>
    <n v="1"/>
    <n v="0"/>
    <n v="0"/>
    <n v="2"/>
    <n v="3"/>
    <n v="4"/>
    <n v="0"/>
    <n v="1"/>
    <n v="1"/>
    <n v="30"/>
    <x v="4"/>
    <n v="8"/>
    <n v="10"/>
    <n v="2"/>
    <n v="2"/>
    <n v="2"/>
    <n v="2.5000000000000001E-2"/>
    <n v="0.2"/>
    <n v="0.25"/>
    <n v="0.05"/>
    <n v="0.05"/>
    <n v="0.05"/>
  </r>
  <r>
    <n v="32"/>
    <n v="1"/>
    <d v="2023-08-01T00:00:00"/>
    <s v="S35-36"/>
    <s v="Carlos Dominguez"/>
    <n v="6"/>
    <n v="2"/>
    <n v="1"/>
    <n v="2"/>
    <n v="1"/>
    <n v="0"/>
    <n v="1"/>
    <n v="3"/>
    <n v="3"/>
    <n v="1"/>
    <n v="0"/>
    <n v="1"/>
    <n v="1"/>
    <n v="2"/>
    <n v="3"/>
    <n v="3"/>
    <n v="4"/>
    <n v="3"/>
    <n v="0"/>
    <n v="3"/>
    <n v="34"/>
    <x v="5"/>
    <n v="3"/>
    <n v="10"/>
    <n v="3"/>
    <n v="5"/>
    <n v="3"/>
    <n v="7.4999999999999997E-2"/>
    <n v="7.4999999999999997E-2"/>
    <n v="0.25"/>
    <n v="7.4999999999999997E-2"/>
    <n v="0.125"/>
    <n v="7.4999999999999997E-2"/>
  </r>
  <r>
    <n v="32"/>
    <n v="1"/>
    <d v="2023-08-04T00:00:00"/>
    <s v="S33-34"/>
    <s v="Carlos Dominguez"/>
    <n v="7"/>
    <n v="1"/>
    <n v="3"/>
    <n v="2"/>
    <n v="3"/>
    <n v="2"/>
    <n v="1"/>
    <n v="3"/>
    <n v="1"/>
    <n v="3"/>
    <n v="2"/>
    <n v="3"/>
    <n v="3"/>
    <n v="3"/>
    <n v="2"/>
    <n v="2"/>
    <n v="1"/>
    <n v="2"/>
    <n v="2"/>
    <n v="1"/>
    <n v="40"/>
    <x v="1"/>
    <n v="7"/>
    <n v="16"/>
    <n v="2"/>
    <n v="5"/>
    <n v="3"/>
    <n v="0.1"/>
    <n v="0.17499999999999999"/>
    <n v="0.4"/>
    <n v="0.05"/>
    <n v="0.125"/>
    <n v="7.4999999999999997E-2"/>
  </r>
  <r>
    <n v="32"/>
    <n v="2"/>
    <d v="2023-08-04T00:00:00"/>
    <s v="S35-36"/>
    <s v="Carlos Dominguez"/>
    <n v="8"/>
    <n v="2"/>
    <n v="2"/>
    <n v="1"/>
    <n v="1"/>
    <n v="3"/>
    <n v="2"/>
    <n v="3"/>
    <n v="3"/>
    <n v="3"/>
    <n v="2"/>
    <n v="1"/>
    <n v="1"/>
    <n v="2"/>
    <n v="1"/>
    <n v="1"/>
    <n v="3"/>
    <n v="1"/>
    <n v="2"/>
    <n v="3"/>
    <n v="37"/>
    <x v="1"/>
    <n v="5"/>
    <n v="15"/>
    <n v="3"/>
    <n v="3"/>
    <n v="5"/>
    <n v="0.1"/>
    <n v="0.125"/>
    <n v="0.375"/>
    <n v="7.4999999999999997E-2"/>
    <n v="7.4999999999999997E-2"/>
    <n v="0.125"/>
  </r>
  <r>
    <n v="33"/>
    <n v="1"/>
    <d v="2023-08-07T00:00:00"/>
    <s v="S41-42"/>
    <s v="Antonio Sanchez"/>
    <n v="9"/>
    <n v="2"/>
    <n v="1"/>
    <n v="4"/>
    <n v="0"/>
    <n v="3"/>
    <n v="4"/>
    <n v="2"/>
    <n v="1"/>
    <n v="4"/>
    <n v="2"/>
    <n v="3"/>
    <n v="0"/>
    <n v="3"/>
    <n v="0"/>
    <n v="4"/>
    <n v="2"/>
    <n v="4"/>
    <n v="0"/>
    <n v="0"/>
    <n v="39"/>
    <x v="5"/>
    <n v="7"/>
    <n v="16"/>
    <n v="4"/>
    <n v="3"/>
    <n v="0"/>
    <n v="7.4999999999999997E-2"/>
    <n v="0.17499999999999999"/>
    <n v="0.4"/>
    <n v="0.1"/>
    <n v="7.4999999999999997E-2"/>
    <n v="0"/>
  </r>
  <r>
    <n v="33"/>
    <n v="1"/>
    <d v="2023-08-07T00:00:00"/>
    <s v="S43-44"/>
    <s v="Antonio Sanchez"/>
    <n v="10"/>
    <n v="1"/>
    <n v="1"/>
    <n v="0"/>
    <n v="1"/>
    <n v="2"/>
    <n v="2"/>
    <n v="1"/>
    <n v="4"/>
    <n v="1"/>
    <n v="1"/>
    <n v="3"/>
    <n v="3"/>
    <n v="2"/>
    <n v="0"/>
    <n v="2"/>
    <n v="1"/>
    <n v="3"/>
    <n v="4"/>
    <n v="0"/>
    <n v="32"/>
    <x v="6"/>
    <n v="3"/>
    <n v="15"/>
    <n v="5"/>
    <n v="2"/>
    <n v="4"/>
    <n v="0.05"/>
    <n v="7.4999999999999997E-2"/>
    <n v="0.375"/>
    <n v="0.125"/>
    <n v="0.05"/>
    <n v="0.1"/>
  </r>
  <r>
    <n v="33"/>
    <n v="2"/>
    <d v="2023-08-09T00:00:00"/>
    <s v="S41-42"/>
    <s v="Antonio Sanchez"/>
    <n v="11"/>
    <n v="0"/>
    <n v="3"/>
    <n v="0"/>
    <n v="0"/>
    <n v="3"/>
    <n v="0"/>
    <n v="4"/>
    <n v="4"/>
    <n v="4"/>
    <n v="3"/>
    <n v="0"/>
    <n v="4"/>
    <n v="2"/>
    <n v="3"/>
    <n v="3"/>
    <n v="0"/>
    <n v="3"/>
    <n v="0"/>
    <n v="4"/>
    <n v="40"/>
    <x v="5"/>
    <n v="3"/>
    <n v="19"/>
    <n v="6"/>
    <n v="5"/>
    <n v="4"/>
    <n v="7.4999999999999997E-2"/>
    <n v="7.4999999999999997E-2"/>
    <n v="0.47499999999999998"/>
    <n v="0.15"/>
    <n v="0.125"/>
    <n v="0.1"/>
  </r>
  <r>
    <n v="33"/>
    <n v="2"/>
    <d v="2023-08-09T00:00:00"/>
    <s v="S43-44"/>
    <s v="Antonio Sanchez"/>
    <n v="12"/>
    <n v="0"/>
    <n v="4"/>
    <n v="4"/>
    <n v="2"/>
    <n v="4"/>
    <n v="3"/>
    <n v="1"/>
    <n v="0"/>
    <n v="3"/>
    <n v="3"/>
    <n v="4"/>
    <n v="1"/>
    <n v="2"/>
    <n v="1"/>
    <n v="4"/>
    <n v="1"/>
    <n v="3"/>
    <n v="4"/>
    <n v="2"/>
    <n v="46"/>
    <x v="1"/>
    <n v="10"/>
    <n v="15"/>
    <n v="7"/>
    <n v="3"/>
    <n v="6"/>
    <n v="0.1"/>
    <n v="0.25"/>
    <n v="0.375"/>
    <n v="0.17499999999999999"/>
    <n v="7.4999999999999997E-2"/>
    <n v="0.1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9">
  <r>
    <n v="17"/>
    <x v="0"/>
    <x v="0"/>
    <n v="34"/>
    <n v="7.0833333333333331E-2"/>
    <n v="7.0833333333333331E-2"/>
  </r>
  <r>
    <n v="14"/>
    <x v="1"/>
    <x v="1"/>
    <n v="32"/>
    <n v="6.6666666666666666E-2"/>
    <n v="0.13750000000000001"/>
  </r>
  <r>
    <n v="15"/>
    <x v="2"/>
    <x v="2"/>
    <n v="32"/>
    <n v="6.6666666666666666E-2"/>
    <n v="0.20416666666666666"/>
  </r>
  <r>
    <n v="8"/>
    <x v="3"/>
    <x v="3"/>
    <n v="30"/>
    <n v="6.25E-2"/>
    <n v="0.26666666666666666"/>
  </r>
  <r>
    <n v="9"/>
    <x v="3"/>
    <x v="4"/>
    <n v="28"/>
    <n v="5.8333333333333334E-2"/>
    <n v="0.32500000000000001"/>
  </r>
  <r>
    <n v="5"/>
    <x v="4"/>
    <x v="5"/>
    <n v="27"/>
    <n v="5.6250000000000001E-2"/>
    <n v="0.38125000000000003"/>
  </r>
  <r>
    <n v="2"/>
    <x v="5"/>
    <x v="6"/>
    <n v="26"/>
    <n v="5.4166666666666669E-2"/>
    <n v="0.43541666666666667"/>
  </r>
  <r>
    <n v="3"/>
    <x v="4"/>
    <x v="7"/>
    <n v="26"/>
    <n v="5.4166666666666669E-2"/>
    <n v="0.48958333333333337"/>
  </r>
  <r>
    <n v="7"/>
    <x v="3"/>
    <x v="8"/>
    <n v="25"/>
    <n v="5.2083333333333336E-2"/>
    <n v="0.54166666666666674"/>
  </r>
  <r>
    <n v="13"/>
    <x v="1"/>
    <x v="9"/>
    <n v="25"/>
    <n v="5.2083333333333336E-2"/>
    <n v="0.59375000000000011"/>
  </r>
  <r>
    <n v="6"/>
    <x v="3"/>
    <x v="10"/>
    <n v="24"/>
    <n v="0.05"/>
    <n v="0.64375000000000016"/>
  </r>
  <r>
    <n v="11"/>
    <x v="3"/>
    <x v="11"/>
    <n v="24"/>
    <n v="0.05"/>
    <n v="0.6937500000000002"/>
  </r>
  <r>
    <n v="4"/>
    <x v="4"/>
    <x v="12"/>
    <n v="22"/>
    <n v="4.583333333333333E-2"/>
    <n v="0.73958333333333348"/>
  </r>
  <r>
    <n v="12"/>
    <x v="3"/>
    <x v="13"/>
    <n v="22"/>
    <n v="4.583333333333333E-2"/>
    <n v="0.78541666666666676"/>
  </r>
  <r>
    <n v="16"/>
    <x v="2"/>
    <x v="2"/>
    <n v="21"/>
    <n v="4.3749999999999997E-2"/>
    <n v="0.82916666666666672"/>
  </r>
  <r>
    <n v="18"/>
    <x v="0"/>
    <x v="14"/>
    <n v="21"/>
    <n v="4.3749999999999997E-2"/>
    <n v="0.87291666666666667"/>
  </r>
  <r>
    <n v="19"/>
    <x v="0"/>
    <x v="15"/>
    <n v="21"/>
    <n v="4.3749999999999997E-2"/>
    <n v="0.91666666666666663"/>
  </r>
  <r>
    <n v="1"/>
    <x v="5"/>
    <x v="16"/>
    <n v="20"/>
    <n v="4.1666666666666664E-2"/>
    <n v="0.95833333333333326"/>
  </r>
  <r>
    <n v="10"/>
    <x v="3"/>
    <x v="17"/>
    <n v="20"/>
    <n v="4.1666666666666664E-2"/>
    <n v="0.999999999999999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chartFormat="4">
  <location ref="P38:R44" firstHeaderRow="0" firstDataRow="1" firstDataCol="1"/>
  <pivotFields count="6">
    <pivotField subtotalTop="0" showAll="0"/>
    <pivotField axis="axisRow" subtotalTop="0" showAll="0" sortType="descending">
      <items count="7">
        <item x="2"/>
        <item x="0"/>
        <item x="1"/>
        <item x="3"/>
        <item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ubtotalTop="0" showAll="0"/>
    <pivotField dataField="1" subtotalTop="0" showAll="0"/>
    <pivotField numFmtId="9" subtotalTop="0" showAll="0"/>
    <pivotField dataField="1" numFmtId="9" subtotalTop="0" showAll="0"/>
  </pivotFields>
  <rowFields count="1">
    <field x="1"/>
  </rowFields>
  <rowItems count="6">
    <i>
      <x v="2"/>
    </i>
    <i>
      <x v="1"/>
    </i>
    <i>
      <x/>
    </i>
    <i>
      <x v="3"/>
    </i>
    <i>
      <x v="5"/>
    </i>
    <i>
      <x v="4"/>
    </i>
  </rowItems>
  <colFields count="1">
    <field x="-2"/>
  </colFields>
  <colItems count="2">
    <i>
      <x/>
    </i>
    <i i="1">
      <x v="1"/>
    </i>
  </colItems>
  <dataFields count="2">
    <dataField name="Sum of Eventos" fld="3" baseField="0" baseItem="0"/>
    <dataField name="Count of Acumulado" fld="5" subtotal="count" baseField="1" baseItem="4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38:W57" firstHeaderRow="0" firstDataRow="1" firstDataCol="1"/>
  <pivotFields count="6">
    <pivotField showAll="0"/>
    <pivotField showAll="0"/>
    <pivotField axis="axisRow" showAll="0" sortType="descending">
      <items count="19">
        <item x="2"/>
        <item x="11"/>
        <item x="15"/>
        <item x="4"/>
        <item x="7"/>
        <item x="14"/>
        <item x="8"/>
        <item x="9"/>
        <item x="6"/>
        <item x="16"/>
        <item x="17"/>
        <item x="10"/>
        <item x="12"/>
        <item x="1"/>
        <item x="3"/>
        <item x="0"/>
        <item x="1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numFmtId="9" showAll="0"/>
    <pivotField numFmtId="9" showAll="0"/>
  </pivotFields>
  <rowFields count="1">
    <field x="2"/>
  </rowFields>
  <rowItems count="19">
    <i>
      <x v="15"/>
    </i>
    <i>
      <x v="13"/>
    </i>
    <i>
      <x/>
    </i>
    <i>
      <x v="14"/>
    </i>
    <i>
      <x v="3"/>
    </i>
    <i>
      <x v="17"/>
    </i>
    <i>
      <x v="4"/>
    </i>
    <i>
      <x v="6"/>
    </i>
    <i>
      <x v="8"/>
    </i>
    <i>
      <x v="7"/>
    </i>
    <i>
      <x v="11"/>
    </i>
    <i>
      <x v="1"/>
    </i>
    <i>
      <x v="16"/>
    </i>
    <i>
      <x v="12"/>
    </i>
    <i>
      <x v="5"/>
    </i>
    <i>
      <x v="9"/>
    </i>
    <i>
      <x v="2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 Eventos" fld="3" baseField="2" baseItem="15"/>
    <dataField name="%Eventos" fld="3" showDataAs="percentOfTotal" baseField="2" baseItem="15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0" firstHeaderRow="1" firstDataRow="1" firstDataCol="0"/>
  <pivotFields count="38"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>
      <items count="8">
        <item x="4"/>
        <item x="6"/>
        <item x="5"/>
        <item x="1"/>
        <item x="3"/>
        <item x="2"/>
        <item x="0"/>
        <item t="default"/>
      </items>
    </pivotField>
    <pivotField numFmtId="1" showAll="0"/>
    <pivotField numFmtId="1" showAll="0"/>
    <pivotField showAll="0"/>
    <pivotField numFmtId="1" showAll="0"/>
    <pivotField numFmtId="1" showAll="0"/>
    <pivotField numFmtId="9" showAll="0"/>
    <pivotField numFmtId="9" showAll="0"/>
    <pivotField numFmtId="9" showAll="0"/>
    <pivotField numFmtId="9" showAll="0"/>
    <pivotField numFmtId="9" showAll="0"/>
    <pivotField numFmtId="9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chartFormat="4">
  <location ref="B50:D56" firstHeaderRow="0" firstDataRow="1" firstDataCol="1"/>
  <pivotFields count="5">
    <pivotField axis="axisRow" subtotalTop="0" showAll="0" sortType="descending">
      <items count="7">
        <item x="5"/>
        <item x="2"/>
        <item x="1"/>
        <item x="3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ubtotalTop="0" showAll="0"/>
    <pivotField dataField="1" showAll="0" defaultSubtotal="0"/>
    <pivotField numFmtId="9" subtotalTop="0" showAll="0"/>
    <pivotField dataField="1" numFmtId="9" subtotalTop="0" showAll="0"/>
  </pivotFields>
  <rowFields count="1">
    <field x="0"/>
  </rowFields>
  <rowItems count="6">
    <i>
      <x v="2"/>
    </i>
    <i>
      <x v="5"/>
    </i>
    <i>
      <x v="1"/>
    </i>
    <i>
      <x/>
    </i>
    <i>
      <x v="3"/>
    </i>
    <i>
      <x v="4"/>
    </i>
  </rowItems>
  <colFields count="1">
    <field x="-2"/>
  </colFields>
  <colItems count="2">
    <i>
      <x/>
    </i>
    <i i="1">
      <x v="1"/>
    </i>
  </colItems>
  <dataFields count="2">
    <dataField name="Sum of Aud1" fld="2" baseField="0" baseItem="0"/>
    <dataField name="Count of Acumulado" fld="4" subtotal="count" baseField="0" baseItem="4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chartFormats count="1">
    <chartFormat chart="2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61:D80" firstHeaderRow="0" firstDataRow="1" firstDataCol="1"/>
  <pivotFields count="5">
    <pivotField showAll="0"/>
    <pivotField axis="axisRow" showAll="0" sortType="descending">
      <items count="19">
        <item x="11"/>
        <item x="4"/>
        <item x="2"/>
        <item x="16"/>
        <item x="10"/>
        <item x="15"/>
        <item x="6"/>
        <item x="17"/>
        <item x="7"/>
        <item x="5"/>
        <item x="8"/>
        <item x="12"/>
        <item x="0"/>
        <item x="13"/>
        <item x="1"/>
        <item x="3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 defaultSubtotal="0"/>
    <pivotField dataField="1" numFmtId="9" showAll="0"/>
    <pivotField numFmtId="9" showAll="0"/>
  </pivotFields>
  <rowFields count="1">
    <field x="1"/>
  </rowFields>
  <rowItems count="19">
    <i>
      <x v="2"/>
    </i>
    <i>
      <x v="12"/>
    </i>
    <i>
      <x v="14"/>
    </i>
    <i>
      <x v="15"/>
    </i>
    <i>
      <x v="1"/>
    </i>
    <i>
      <x v="9"/>
    </i>
    <i>
      <x v="16"/>
    </i>
    <i>
      <x v="6"/>
    </i>
    <i>
      <x v="13"/>
    </i>
    <i>
      <x v="10"/>
    </i>
    <i>
      <x/>
    </i>
    <i>
      <x v="11"/>
    </i>
    <i>
      <x v="4"/>
    </i>
    <i>
      <x v="8"/>
    </i>
    <i>
      <x v="17"/>
    </i>
    <i>
      <x v="7"/>
    </i>
    <i>
      <x v="5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ud1" fld="2" baseField="0" baseItem="0"/>
    <dataField name="Sum of %" fld="3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61:D80" firstHeaderRow="0" firstDataRow="1" firstDataCol="1"/>
  <pivotFields count="6">
    <pivotField showAll="0" defaultSubtotal="0"/>
    <pivotField showAll="0"/>
    <pivotField axis="axisRow" showAll="0" sortType="descending">
      <items count="19">
        <item x="11"/>
        <item x="3"/>
        <item x="2"/>
        <item x="1"/>
        <item x="17"/>
        <item x="13"/>
        <item x="16"/>
        <item x="0"/>
        <item x="5"/>
        <item x="9"/>
        <item x="8"/>
        <item x="14"/>
        <item x="12"/>
        <item x="15"/>
        <item x="10"/>
        <item x="7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howAll="0" defaultSubtotal="0"/>
    <pivotField dataField="1" numFmtId="9" showAll="0"/>
    <pivotField numFmtId="9" showAll="0"/>
  </pivotFields>
  <rowFields count="1">
    <field x="2"/>
  </rowFields>
  <rowItems count="19">
    <i>
      <x v="2"/>
    </i>
    <i>
      <x v="7"/>
    </i>
    <i>
      <x v="3"/>
    </i>
    <i>
      <x v="1"/>
    </i>
    <i>
      <x v="16"/>
    </i>
    <i>
      <x v="8"/>
    </i>
    <i>
      <x v="15"/>
    </i>
    <i>
      <x v="17"/>
    </i>
    <i>
      <x v="9"/>
    </i>
    <i>
      <x v="10"/>
    </i>
    <i>
      <x/>
    </i>
    <i>
      <x v="14"/>
    </i>
    <i>
      <x v="5"/>
    </i>
    <i>
      <x v="12"/>
    </i>
    <i>
      <x v="13"/>
    </i>
    <i>
      <x v="11"/>
    </i>
    <i>
      <x v="6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ud1y2" fld="3" baseField="0" baseItem="0"/>
    <dataField name="Sum of %" fld="4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chartFormat="4">
  <location ref="B50:D56" firstHeaderRow="0" firstDataRow="1" firstDataCol="1"/>
  <pivotFields count="6">
    <pivotField showAll="0" defaultSubtotal="0"/>
    <pivotField axis="axisRow" subtotalTop="0" showAll="0" sortType="descending">
      <items count="7">
        <item x="0"/>
        <item x="2"/>
        <item x="3"/>
        <item x="1"/>
        <item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ubtotalTop="0" showAll="0"/>
    <pivotField dataField="1" showAll="0" defaultSubtotal="0"/>
    <pivotField numFmtId="9" subtotalTop="0" showAll="0"/>
    <pivotField dataField="1" numFmtId="9" subtotalTop="0" showAll="0"/>
  </pivotFields>
  <rowFields count="1">
    <field x="1"/>
  </rowFields>
  <rowItems count="6">
    <i>
      <x v="2"/>
    </i>
    <i>
      <x/>
    </i>
    <i>
      <x v="5"/>
    </i>
    <i>
      <x v="3"/>
    </i>
    <i>
      <x v="1"/>
    </i>
    <i>
      <x v="4"/>
    </i>
  </rowItems>
  <colFields count="1">
    <field x="-2"/>
  </colFields>
  <colItems count="2">
    <i>
      <x/>
    </i>
    <i i="1">
      <x v="1"/>
    </i>
  </colItems>
  <dataFields count="2">
    <dataField name="Sum of Aud1y2" fld="3" baseField="0" baseItem="0"/>
    <dataField name="Count of Acumulado" fld="5" subtotal="count" baseField="1" baseItem="4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chartFormats count="1">
    <chartFormat chart="2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2" displayName="Table22" ref="P5:U24" totalsRowShown="0" headerRowBorderDxfId="59" tableBorderDxfId="58">
  <autoFilter ref="P5:U24"/>
  <sortState ref="P6:U24">
    <sortCondition descending="1" ref="S5:S24"/>
  </sortState>
  <tableColumns count="6">
    <tableColumn id="1" name="Codigo" dataDxfId="57"/>
    <tableColumn id="5" name="Categoria" dataDxfId="56"/>
    <tableColumn id="2" name="Clasificar" dataDxfId="55"/>
    <tableColumn id="3" name="Eventos" dataDxfId="54"/>
    <tableColumn id="6" name="%" dataDxfId="53" dataCellStyle="Percent">
      <calculatedColumnFormula>S6/$S$25</calculatedColumnFormula>
    </tableColumn>
    <tableColumn id="7" name="Acumulado" dataDxfId="52">
      <calculatedColumnFormula>IF(T6=$T$6,T6,T6+U5)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Semanas_Cbox" displayName="Semanas_Cbox" ref="N5:N57" totalsRowShown="0" headerRowDxfId="51" headerRowBorderDxfId="50" tableBorderDxfId="49" totalsRowBorderDxfId="48">
  <autoFilter ref="N5:N57"/>
  <tableColumns count="1">
    <tableColumn id="1" name="Semanas Combobox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4:G24" totalsRowCount="1" headerRowDxfId="46" dataDxfId="44" headerRowBorderDxfId="45" tableBorderDxfId="43" totalsRowBorderDxfId="42">
  <autoFilter ref="C4:G23"/>
  <sortState ref="C5:G23">
    <sortCondition descending="1" ref="E4:E23"/>
  </sortState>
  <tableColumns count="5">
    <tableColumn id="1" name="Categoria" dataDxfId="41" totalsRowDxfId="40"/>
    <tableColumn id="2" name="Clasificar" dataDxfId="39" totalsRowDxfId="38"/>
    <tableColumn id="3" name="Aud1" totalsRowFunction="custom" dataDxfId="37" totalsRowDxfId="36">
      <totalsRowFormula>SUM(Table4[Aud1])</totalsRowFormula>
    </tableColumn>
    <tableColumn id="5" name="%" dataDxfId="35" totalsRowDxfId="34" dataCellStyle="Percent">
      <calculatedColumnFormula>Table4[[#This Row],[Aud1]]/Table4[[#Totals],[Aud1]]</calculatedColumnFormula>
    </tableColumn>
    <tableColumn id="6" name="Acumulado" dataDxfId="33" totalsRowDxfId="32" dataCellStyle="Percent">
      <calculatedColumnFormula>IF(ROW()-ROW(Table4[#All])=1,Table4[[#This Row],[%]],Table4[[#This Row],[%]]+G4)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46" displayName="Table46" ref="C27:G47" totalsRowCount="1" headerRowDxfId="31" dataDxfId="29" headerRowBorderDxfId="30" tableBorderDxfId="28" totalsRowBorderDxfId="27">
  <autoFilter ref="C27:G46"/>
  <sortState ref="C26:G44">
    <sortCondition descending="1" ref="E25:E44"/>
  </sortState>
  <tableColumns count="5">
    <tableColumn id="1" name="Categoria" dataDxfId="26" totalsRowDxfId="25"/>
    <tableColumn id="2" name="Clasificar" dataDxfId="24" totalsRowDxfId="23"/>
    <tableColumn id="4" name="Aud2" totalsRowFunction="custom" dataDxfId="22" totalsRowDxfId="21">
      <totalsRowFormula>SUM(Table46[Aud2])</totalsRowFormula>
    </tableColumn>
    <tableColumn id="5" name="%" dataDxfId="20" totalsRowDxfId="19" dataCellStyle="Percent">
      <calculatedColumnFormula>Table46[[#This Row],[Aud2]]/Table46[[#Totals],[Aud2]]</calculatedColumnFormula>
    </tableColumn>
    <tableColumn id="6" name="Acumulado" dataDxfId="18" totalsRowDxfId="17" dataCellStyle="Percent">
      <calculatedColumnFormula>IF(ROW()-ROW(Table46[#All])=1,Table46[[#This Row],[%]],Table46[[#This Row],[%]]+G4)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Catergorias_acomulado" displayName="Catergorias_acomulado" ref="B4:G24" totalsRowCount="1" headerRowDxfId="16" dataDxfId="14" headerRowBorderDxfId="15" tableBorderDxfId="13" totalsRowBorderDxfId="12">
  <autoFilter ref="B4:G23"/>
  <sortState ref="B5:G23">
    <sortCondition descending="1" ref="F4:F23"/>
  </sortState>
  <tableColumns count="6">
    <tableColumn id="4" name="No.Defecto" dataDxfId="11" totalsRowDxfId="10"/>
    <tableColumn id="1" name="Categoria" dataDxfId="9" totalsRowDxfId="8"/>
    <tableColumn id="2" name="Clasificar" dataDxfId="7" totalsRowDxfId="6"/>
    <tableColumn id="3" name="Aud1y2" totalsRowFunction="custom" dataDxfId="5" totalsRowDxfId="4">
      <totalsRowFormula>SUM(Catergorias_acomulado[Aud1y2])</totalsRowFormula>
    </tableColumn>
    <tableColumn id="5" name="%" dataDxfId="3" totalsRowDxfId="2" dataCellStyle="Percent">
      <calculatedColumnFormula>Catergorias_acomulado[[#This Row],[Aud1y2]]/Catergorias_acomulado[[#Totals],[Aud1y2]]</calculatedColumnFormula>
    </tableColumn>
    <tableColumn id="6" name="Acumulado" dataDxfId="1" totalsRowDxfId="0" dataCellStyle="Percent">
      <calculatedColumnFormula>IF(ROW()-ROW(Catergorias_acomulado[#All])=1,Catergorias_acomulado[[#This Row],[%]],Catergorias_acomulado[[#This Row],[%]]+G4)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72"/>
  <sheetViews>
    <sheetView showGridLines="0" topLeftCell="A10" zoomScale="70" zoomScaleNormal="70" workbookViewId="0">
      <selection activeCell="I7" sqref="I7"/>
    </sheetView>
  </sheetViews>
  <sheetFormatPr defaultRowHeight="14.4" x14ac:dyDescent="0.3"/>
  <cols>
    <col min="1" max="1" width="5.88671875" customWidth="1"/>
    <col min="2" max="2" width="33.33203125" customWidth="1"/>
    <col min="3" max="3" width="32.33203125" customWidth="1"/>
    <col min="4" max="4" width="18.5546875" customWidth="1"/>
    <col min="5" max="5" width="16.33203125" customWidth="1"/>
    <col min="6" max="6" width="11.6640625" style="29" customWidth="1"/>
    <col min="7" max="7" width="9.88671875" style="11" customWidth="1"/>
    <col min="8" max="8" width="8.88671875" style="11"/>
    <col min="9" max="9" width="23.33203125" customWidth="1"/>
  </cols>
  <sheetData>
    <row r="1" spans="2:9" ht="43.2" customHeight="1" x14ac:dyDescent="0.3">
      <c r="C1" s="202" t="s">
        <v>0</v>
      </c>
      <c r="D1" s="203"/>
      <c r="E1" s="203"/>
      <c r="F1" s="203"/>
      <c r="G1" s="204"/>
    </row>
    <row r="2" spans="2:9" x14ac:dyDescent="0.3">
      <c r="C2" s="205"/>
      <c r="D2" s="206"/>
      <c r="E2" s="206"/>
      <c r="F2" s="206"/>
      <c r="G2" s="207"/>
    </row>
    <row r="3" spans="2:9" x14ac:dyDescent="0.3">
      <c r="C3" s="205"/>
      <c r="D3" s="206"/>
      <c r="E3" s="206"/>
      <c r="F3" s="206"/>
      <c r="G3" s="207"/>
    </row>
    <row r="4" spans="2:9" ht="41.4" customHeight="1" x14ac:dyDescent="0.3">
      <c r="B4" s="211" t="s">
        <v>1</v>
      </c>
      <c r="C4" s="205"/>
      <c r="D4" s="206"/>
      <c r="E4" s="206"/>
      <c r="F4" s="206"/>
      <c r="G4" s="207"/>
    </row>
    <row r="5" spans="2:9" ht="14.4" customHeight="1" x14ac:dyDescent="0.3">
      <c r="B5" s="212"/>
      <c r="C5" s="205"/>
      <c r="D5" s="206"/>
      <c r="E5" s="206"/>
      <c r="F5" s="206"/>
      <c r="G5" s="207"/>
    </row>
    <row r="6" spans="2:9" ht="28.8" x14ac:dyDescent="0.4">
      <c r="B6" s="10" t="s">
        <v>2</v>
      </c>
      <c r="C6" s="208"/>
      <c r="D6" s="209"/>
      <c r="E6" s="209"/>
      <c r="F6" s="209"/>
      <c r="G6" s="210"/>
      <c r="I6" s="28"/>
    </row>
    <row r="7" spans="2:9" x14ac:dyDescent="0.3">
      <c r="B7" s="10"/>
      <c r="C7" s="22"/>
      <c r="D7" s="22"/>
      <c r="E7" s="12"/>
      <c r="F7" s="24"/>
      <c r="G7" s="24"/>
      <c r="H7" s="47"/>
    </row>
    <row r="8" spans="2:9" ht="31.2" x14ac:dyDescent="0.3">
      <c r="B8" s="10" t="s">
        <v>3</v>
      </c>
      <c r="C8" s="213" t="s">
        <v>4</v>
      </c>
      <c r="D8" s="213"/>
      <c r="E8" s="213"/>
      <c r="F8" s="24"/>
      <c r="G8" s="24"/>
    </row>
    <row r="9" spans="2:9" ht="17.399999999999999" x14ac:dyDescent="0.3">
      <c r="C9" s="214" t="s">
        <v>5</v>
      </c>
      <c r="D9" s="214"/>
      <c r="E9" s="214"/>
      <c r="F9" s="24"/>
      <c r="G9" s="24"/>
    </row>
    <row r="10" spans="2:9" ht="17.399999999999999" x14ac:dyDescent="0.3">
      <c r="C10" s="214" t="s">
        <v>6</v>
      </c>
      <c r="D10" s="214"/>
      <c r="E10" s="214"/>
      <c r="F10" s="24"/>
      <c r="G10" s="24"/>
    </row>
    <row r="11" spans="2:9" ht="17.399999999999999" x14ac:dyDescent="0.3">
      <c r="C11" s="214" t="s">
        <v>7</v>
      </c>
      <c r="D11" s="214"/>
      <c r="E11" s="214"/>
      <c r="F11" s="24"/>
      <c r="G11" s="24"/>
    </row>
    <row r="12" spans="2:9" ht="17.399999999999999" x14ac:dyDescent="0.3">
      <c r="B12" s="197" t="s">
        <v>44</v>
      </c>
      <c r="C12" s="214" t="s">
        <v>8</v>
      </c>
      <c r="D12" s="214"/>
      <c r="E12" s="214"/>
      <c r="F12" s="24"/>
      <c r="G12" s="24"/>
    </row>
    <row r="13" spans="2:9" ht="17.399999999999999" customHeight="1" x14ac:dyDescent="0.3">
      <c r="B13" s="197"/>
      <c r="C13" s="214" t="s">
        <v>9</v>
      </c>
      <c r="D13" s="214"/>
      <c r="E13" s="214"/>
      <c r="F13" s="24"/>
      <c r="G13" s="24"/>
    </row>
    <row r="14" spans="2:9" ht="14.4" customHeight="1" x14ac:dyDescent="0.3">
      <c r="B14" s="197" t="s">
        <v>257</v>
      </c>
      <c r="C14" s="53"/>
      <c r="D14" s="53"/>
      <c r="E14" s="53"/>
      <c r="F14" s="24"/>
      <c r="G14" s="24"/>
    </row>
    <row r="15" spans="2:9" ht="12.6" customHeight="1" x14ac:dyDescent="0.3">
      <c r="B15" s="197"/>
      <c r="C15" s="10"/>
      <c r="D15" s="57" t="s">
        <v>52</v>
      </c>
      <c r="E15" s="57" t="s">
        <v>53</v>
      </c>
    </row>
    <row r="16" spans="2:9" s="4" customFormat="1" ht="15.6" customHeight="1" x14ac:dyDescent="0.3">
      <c r="B16" s="14" t="s">
        <v>10</v>
      </c>
      <c r="C16" s="16"/>
      <c r="D16" s="215" t="s">
        <v>11</v>
      </c>
      <c r="E16" s="216"/>
      <c r="F16" s="35" t="s">
        <v>12</v>
      </c>
      <c r="G16" s="3" t="s">
        <v>13</v>
      </c>
      <c r="H16" s="32">
        <f>G17</f>
        <v>0</v>
      </c>
    </row>
    <row r="17" spans="2:8" s="5" customFormat="1" ht="12" customHeight="1" x14ac:dyDescent="0.3">
      <c r="B17" s="200" t="s">
        <v>14</v>
      </c>
      <c r="C17" s="201"/>
      <c r="D17" s="55"/>
      <c r="E17" s="55"/>
      <c r="F17" s="23"/>
      <c r="G17" s="198"/>
      <c r="H17" s="33"/>
    </row>
    <row r="18" spans="2:8" s="5" customFormat="1" ht="12" customHeight="1" x14ac:dyDescent="0.3">
      <c r="B18" s="200" t="s">
        <v>15</v>
      </c>
      <c r="C18" s="201"/>
      <c r="D18" s="55"/>
      <c r="E18" s="55"/>
      <c r="F18" s="23"/>
      <c r="G18" s="199"/>
      <c r="H18" s="33"/>
    </row>
    <row r="19" spans="2:8" s="4" customFormat="1" ht="15.6" customHeight="1" x14ac:dyDescent="0.3">
      <c r="B19" s="14" t="s">
        <v>16</v>
      </c>
      <c r="C19" s="15"/>
      <c r="D19" s="217" t="s">
        <v>11</v>
      </c>
      <c r="E19" s="217"/>
      <c r="F19" s="35" t="s">
        <v>12</v>
      </c>
      <c r="G19" s="3" t="s">
        <v>13</v>
      </c>
      <c r="H19" s="32">
        <f>G20</f>
        <v>0</v>
      </c>
    </row>
    <row r="20" spans="2:8" s="5" customFormat="1" ht="13.2" customHeight="1" x14ac:dyDescent="0.3">
      <c r="B20" s="218" t="s">
        <v>17</v>
      </c>
      <c r="C20" s="219"/>
      <c r="D20" s="55"/>
      <c r="E20" s="55"/>
      <c r="F20" s="36"/>
      <c r="G20" s="198"/>
      <c r="H20" s="33"/>
    </row>
    <row r="21" spans="2:8" s="5" customFormat="1" ht="13.2" customHeight="1" x14ac:dyDescent="0.3">
      <c r="B21" s="218" t="s">
        <v>18</v>
      </c>
      <c r="C21" s="219"/>
      <c r="D21" s="55"/>
      <c r="E21" s="55"/>
      <c r="F21" s="36"/>
      <c r="G21" s="220"/>
      <c r="H21" s="33"/>
    </row>
    <row r="22" spans="2:8" s="5" customFormat="1" ht="13.2" customHeight="1" x14ac:dyDescent="0.3">
      <c r="B22" s="200" t="s">
        <v>19</v>
      </c>
      <c r="C22" s="221"/>
      <c r="D22" s="55"/>
      <c r="E22" s="55"/>
      <c r="F22" s="36"/>
      <c r="G22" s="199"/>
      <c r="H22" s="33"/>
    </row>
    <row r="23" spans="2:8" s="4" customFormat="1" ht="15.6" customHeight="1" x14ac:dyDescent="0.3">
      <c r="B23" s="14" t="s">
        <v>20</v>
      </c>
      <c r="C23" s="16"/>
      <c r="D23" s="217" t="s">
        <v>11</v>
      </c>
      <c r="E23" s="217"/>
      <c r="F23" s="35" t="s">
        <v>12</v>
      </c>
      <c r="G23" s="3" t="s">
        <v>13</v>
      </c>
      <c r="H23" s="32">
        <f>G24</f>
        <v>0</v>
      </c>
    </row>
    <row r="24" spans="2:8" s="5" customFormat="1" ht="13.2" customHeight="1" x14ac:dyDescent="0.3">
      <c r="B24" s="200" t="s">
        <v>21</v>
      </c>
      <c r="C24" s="201"/>
      <c r="D24" s="55"/>
      <c r="E24" s="55"/>
      <c r="F24" s="36"/>
      <c r="G24" s="198"/>
      <c r="H24" s="33"/>
    </row>
    <row r="25" spans="2:8" s="5" customFormat="1" ht="13.2" customHeight="1" x14ac:dyDescent="0.3">
      <c r="B25" s="200" t="s">
        <v>22</v>
      </c>
      <c r="C25" s="201"/>
      <c r="D25" s="55"/>
      <c r="E25" s="55"/>
      <c r="F25" s="36"/>
      <c r="G25" s="220"/>
      <c r="H25" s="33"/>
    </row>
    <row r="26" spans="2:8" s="5" customFormat="1" ht="13.2" customHeight="1" x14ac:dyDescent="0.3">
      <c r="B26" s="19" t="s">
        <v>23</v>
      </c>
      <c r="C26" s="21"/>
      <c r="D26" s="55"/>
      <c r="E26" s="55"/>
      <c r="F26" s="36"/>
      <c r="G26" s="220"/>
      <c r="H26" s="33"/>
    </row>
    <row r="27" spans="2:8" s="5" customFormat="1" ht="13.2" customHeight="1" x14ac:dyDescent="0.3">
      <c r="B27" s="200" t="s">
        <v>24</v>
      </c>
      <c r="C27" s="201"/>
      <c r="D27" s="55"/>
      <c r="E27" s="55"/>
      <c r="F27" s="36"/>
      <c r="G27" s="220"/>
      <c r="H27" s="33"/>
    </row>
    <row r="28" spans="2:8" s="5" customFormat="1" ht="13.2" customHeight="1" x14ac:dyDescent="0.3">
      <c r="B28" s="6" t="s">
        <v>25</v>
      </c>
      <c r="C28" s="6"/>
      <c r="D28" s="55"/>
      <c r="E28" s="55"/>
      <c r="F28" s="36"/>
      <c r="G28" s="220"/>
      <c r="H28" s="33"/>
    </row>
    <row r="29" spans="2:8" s="5" customFormat="1" ht="13.2" customHeight="1" x14ac:dyDescent="0.3">
      <c r="B29" s="6" t="s">
        <v>26</v>
      </c>
      <c r="C29" s="6"/>
      <c r="D29" s="55"/>
      <c r="E29" s="55"/>
      <c r="F29" s="36"/>
      <c r="G29" s="220"/>
      <c r="H29" s="33"/>
    </row>
    <row r="30" spans="2:8" s="5" customFormat="1" ht="23.4" customHeight="1" x14ac:dyDescent="0.3">
      <c r="B30" s="222" t="s">
        <v>27</v>
      </c>
      <c r="C30" s="223"/>
      <c r="D30" s="55"/>
      <c r="E30" s="55"/>
      <c r="F30" s="36"/>
      <c r="G30" s="199"/>
      <c r="H30" s="33"/>
    </row>
    <row r="31" spans="2:8" s="4" customFormat="1" ht="15.6" customHeight="1" x14ac:dyDescent="0.3">
      <c r="B31" s="14" t="s">
        <v>28</v>
      </c>
      <c r="C31" s="16"/>
      <c r="D31" s="217" t="s">
        <v>11</v>
      </c>
      <c r="E31" s="217"/>
      <c r="F31" s="35" t="s">
        <v>12</v>
      </c>
      <c r="G31" s="3" t="s">
        <v>13</v>
      </c>
      <c r="H31" s="32">
        <f>G32</f>
        <v>0</v>
      </c>
    </row>
    <row r="32" spans="2:8" s="5" customFormat="1" ht="13.2" customHeight="1" x14ac:dyDescent="0.3">
      <c r="B32" s="200" t="s">
        <v>29</v>
      </c>
      <c r="C32" s="201"/>
      <c r="D32" s="55"/>
      <c r="E32" s="55"/>
      <c r="F32" s="36"/>
      <c r="G32" s="198"/>
      <c r="H32" s="33"/>
    </row>
    <row r="33" spans="2:8" s="5" customFormat="1" ht="13.2" customHeight="1" x14ac:dyDescent="0.3">
      <c r="B33" s="200" t="s">
        <v>30</v>
      </c>
      <c r="C33" s="201"/>
      <c r="D33" s="55"/>
      <c r="E33" s="55"/>
      <c r="F33" s="36"/>
      <c r="G33" s="220"/>
      <c r="H33" s="33"/>
    </row>
    <row r="34" spans="2:8" s="4" customFormat="1" ht="15.6" x14ac:dyDescent="0.3">
      <c r="B34" s="14" t="s">
        <v>31</v>
      </c>
      <c r="C34" s="15"/>
      <c r="D34" s="217" t="s">
        <v>11</v>
      </c>
      <c r="E34" s="217"/>
      <c r="F34" s="35" t="s">
        <v>12</v>
      </c>
      <c r="G34" s="3" t="s">
        <v>13</v>
      </c>
      <c r="H34" s="32">
        <f>G35</f>
        <v>0</v>
      </c>
    </row>
    <row r="35" spans="2:8" s="5" customFormat="1" ht="13.2" customHeight="1" x14ac:dyDescent="0.3">
      <c r="B35" s="19" t="s">
        <v>32</v>
      </c>
      <c r="C35" s="20"/>
      <c r="D35" s="54"/>
      <c r="E35" s="54"/>
      <c r="F35" s="13"/>
      <c r="G35" s="198"/>
      <c r="H35" s="33"/>
    </row>
    <row r="36" spans="2:8" s="5" customFormat="1" ht="13.2" customHeight="1" x14ac:dyDescent="0.3">
      <c r="B36" s="19" t="s">
        <v>33</v>
      </c>
      <c r="C36" s="20"/>
      <c r="D36" s="54"/>
      <c r="E36" s="54"/>
      <c r="F36" s="13"/>
      <c r="G36" s="220"/>
      <c r="H36" s="33"/>
    </row>
    <row r="37" spans="2:8" s="26" customFormat="1" ht="19.95" customHeight="1" x14ac:dyDescent="0.3">
      <c r="B37" s="30" t="s">
        <v>34</v>
      </c>
      <c r="C37" s="31"/>
      <c r="D37" s="217" t="s">
        <v>11</v>
      </c>
      <c r="E37" s="217"/>
      <c r="F37" s="35" t="s">
        <v>12</v>
      </c>
      <c r="G37" s="3" t="s">
        <v>13</v>
      </c>
      <c r="H37" s="32">
        <f>G38</f>
        <v>0</v>
      </c>
    </row>
    <row r="38" spans="2:8" s="5" customFormat="1" ht="13.95" customHeight="1" x14ac:dyDescent="0.3">
      <c r="B38" s="218" t="s">
        <v>35</v>
      </c>
      <c r="C38" s="219"/>
      <c r="D38" s="55"/>
      <c r="E38" s="55"/>
      <c r="F38" s="13"/>
      <c r="G38" s="198"/>
      <c r="H38" s="33"/>
    </row>
    <row r="39" spans="2:8" s="5" customFormat="1" ht="13.95" customHeight="1" x14ac:dyDescent="0.3">
      <c r="B39" s="218" t="s">
        <v>36</v>
      </c>
      <c r="C39" s="219"/>
      <c r="D39" s="55"/>
      <c r="E39" s="55"/>
      <c r="F39" s="13"/>
      <c r="G39" s="220"/>
      <c r="H39" s="33"/>
    </row>
    <row r="40" spans="2:8" s="5" customFormat="1" ht="25.95" customHeight="1" x14ac:dyDescent="0.3">
      <c r="B40" s="218" t="s">
        <v>37</v>
      </c>
      <c r="C40" s="219"/>
      <c r="D40" s="56"/>
      <c r="E40" s="56"/>
      <c r="F40" s="13"/>
      <c r="G40" s="220"/>
      <c r="H40" s="33"/>
    </row>
    <row r="41" spans="2:8" ht="21" customHeight="1" x14ac:dyDescent="0.3">
      <c r="B41" s="1"/>
      <c r="D41" s="234" t="s">
        <v>38</v>
      </c>
      <c r="E41" s="234"/>
      <c r="F41" s="224"/>
      <c r="G41" s="224"/>
      <c r="H41" s="34"/>
    </row>
    <row r="42" spans="2:8" ht="39.6" customHeight="1" x14ac:dyDescent="0.3">
      <c r="B42" s="236" t="s">
        <v>39</v>
      </c>
      <c r="C42" s="236"/>
      <c r="D42" s="235" t="s">
        <v>40</v>
      </c>
      <c r="E42" s="235"/>
      <c r="F42" s="225"/>
      <c r="G42" s="226"/>
    </row>
    <row r="43" spans="2:8" x14ac:dyDescent="0.3">
      <c r="C43" s="227"/>
      <c r="D43" s="227"/>
      <c r="E43" s="227"/>
    </row>
    <row r="45" spans="2:8" x14ac:dyDescent="0.3">
      <c r="B45" t="s">
        <v>41</v>
      </c>
    </row>
    <row r="48" spans="2:8" ht="21" customHeight="1" x14ac:dyDescent="0.3">
      <c r="B48" s="228" t="s">
        <v>42</v>
      </c>
      <c r="C48" s="229"/>
      <c r="D48" s="229"/>
      <c r="E48" s="229"/>
      <c r="F48" s="229"/>
      <c r="G48" s="230"/>
    </row>
    <row r="49" spans="2:7" ht="14.4" customHeight="1" x14ac:dyDescent="0.3">
      <c r="B49" s="231"/>
      <c r="C49" s="232"/>
      <c r="D49" s="232"/>
      <c r="E49" s="232"/>
      <c r="F49" s="232"/>
      <c r="G49" s="233"/>
    </row>
    <row r="50" spans="2:7" ht="18.600000000000001" customHeight="1" x14ac:dyDescent="0.3">
      <c r="B50" s="9">
        <v>1</v>
      </c>
      <c r="C50" s="8"/>
      <c r="D50" s="8"/>
      <c r="E50" s="8"/>
      <c r="F50" s="37"/>
      <c r="G50" s="25"/>
    </row>
    <row r="51" spans="2:7" ht="18.600000000000001" customHeight="1" x14ac:dyDescent="0.3">
      <c r="B51" s="9">
        <v>2</v>
      </c>
      <c r="C51" s="8"/>
      <c r="D51" s="8"/>
      <c r="E51" s="8"/>
      <c r="F51" s="37"/>
      <c r="G51" s="25"/>
    </row>
    <row r="52" spans="2:7" ht="18.600000000000001" customHeight="1" x14ac:dyDescent="0.3">
      <c r="B52" s="9">
        <v>3</v>
      </c>
      <c r="C52" s="8"/>
      <c r="D52" s="8"/>
      <c r="E52" s="8"/>
      <c r="F52" s="37"/>
      <c r="G52" s="25"/>
    </row>
    <row r="53" spans="2:7" ht="18.600000000000001" customHeight="1" x14ac:dyDescent="0.3">
      <c r="B53" s="9">
        <v>4</v>
      </c>
      <c r="C53" s="8"/>
      <c r="D53" s="8"/>
      <c r="E53" s="8"/>
      <c r="F53" s="37"/>
      <c r="G53" s="25"/>
    </row>
    <row r="54" spans="2:7" ht="18.600000000000001" customHeight="1" x14ac:dyDescent="0.3">
      <c r="B54" s="9">
        <v>5</v>
      </c>
      <c r="C54" s="8"/>
      <c r="D54" s="8"/>
      <c r="E54" s="8"/>
      <c r="F54" s="37"/>
      <c r="G54" s="25"/>
    </row>
    <row r="55" spans="2:7" ht="18.600000000000001" customHeight="1" x14ac:dyDescent="0.3">
      <c r="B55" s="9">
        <v>6</v>
      </c>
      <c r="C55" s="8"/>
      <c r="D55" s="8"/>
      <c r="E55" s="8"/>
      <c r="F55" s="37"/>
      <c r="G55" s="25"/>
    </row>
    <row r="56" spans="2:7" ht="18.600000000000001" customHeight="1" x14ac:dyDescent="0.3">
      <c r="B56" s="9">
        <v>7</v>
      </c>
      <c r="C56" s="8"/>
      <c r="D56" s="8"/>
      <c r="E56" s="8"/>
      <c r="F56" s="37"/>
      <c r="G56" s="25"/>
    </row>
    <row r="57" spans="2:7" ht="18.600000000000001" customHeight="1" x14ac:dyDescent="0.3">
      <c r="B57" s="9">
        <v>8</v>
      </c>
      <c r="C57" s="8"/>
      <c r="D57" s="8"/>
      <c r="E57" s="8"/>
      <c r="F57" s="37"/>
      <c r="G57" s="25"/>
    </row>
    <row r="58" spans="2:7" ht="18.600000000000001" customHeight="1" x14ac:dyDescent="0.3">
      <c r="B58" s="9">
        <v>9</v>
      </c>
      <c r="C58" s="8"/>
      <c r="D58" s="8"/>
      <c r="E58" s="8"/>
      <c r="F58" s="37"/>
      <c r="G58" s="25"/>
    </row>
    <row r="59" spans="2:7" ht="18.600000000000001" customHeight="1" x14ac:dyDescent="0.3">
      <c r="B59" s="9">
        <v>10</v>
      </c>
      <c r="C59" s="8"/>
      <c r="D59" s="8"/>
      <c r="E59" s="8"/>
      <c r="F59" s="37"/>
      <c r="G59" s="25"/>
    </row>
    <row r="60" spans="2:7" ht="18.600000000000001" customHeight="1" x14ac:dyDescent="0.3">
      <c r="B60" s="9">
        <v>11</v>
      </c>
      <c r="C60" s="8"/>
      <c r="D60" s="8"/>
      <c r="E60" s="8"/>
      <c r="F60" s="37"/>
      <c r="G60" s="25"/>
    </row>
    <row r="61" spans="2:7" ht="18.600000000000001" customHeight="1" x14ac:dyDescent="0.3">
      <c r="B61" s="9">
        <v>12</v>
      </c>
      <c r="C61" s="8"/>
      <c r="D61" s="8"/>
      <c r="E61" s="8"/>
      <c r="F61" s="37"/>
      <c r="G61" s="25"/>
    </row>
    <row r="62" spans="2:7" ht="18.600000000000001" customHeight="1" x14ac:dyDescent="0.3">
      <c r="B62" s="9">
        <v>13</v>
      </c>
      <c r="C62" s="8"/>
      <c r="D62" s="8"/>
      <c r="E62" s="8"/>
      <c r="F62" s="37"/>
      <c r="G62" s="25"/>
    </row>
    <row r="63" spans="2:7" ht="18.600000000000001" customHeight="1" x14ac:dyDescent="0.3">
      <c r="B63" s="9">
        <v>14</v>
      </c>
      <c r="C63" s="8"/>
      <c r="D63" s="8"/>
      <c r="E63" s="8"/>
      <c r="F63" s="37"/>
      <c r="G63" s="25"/>
    </row>
    <row r="64" spans="2:7" ht="18.600000000000001" customHeight="1" x14ac:dyDescent="0.3">
      <c r="B64" s="9">
        <v>15</v>
      </c>
      <c r="C64" s="8"/>
      <c r="D64" s="8"/>
      <c r="E64" s="8"/>
      <c r="F64" s="37"/>
      <c r="G64" s="25"/>
    </row>
    <row r="65" spans="2:7" ht="18.600000000000001" customHeight="1" x14ac:dyDescent="0.3">
      <c r="B65" s="9">
        <v>16</v>
      </c>
      <c r="C65" s="8"/>
      <c r="D65" s="8"/>
      <c r="E65" s="8"/>
      <c r="F65" s="37"/>
      <c r="G65" s="25"/>
    </row>
    <row r="66" spans="2:7" ht="18.600000000000001" customHeight="1" x14ac:dyDescent="0.3">
      <c r="B66" s="9">
        <v>17</v>
      </c>
      <c r="C66" s="8"/>
      <c r="D66" s="8"/>
      <c r="E66" s="8"/>
      <c r="F66" s="37"/>
      <c r="G66" s="25"/>
    </row>
    <row r="67" spans="2:7" ht="18.600000000000001" customHeight="1" x14ac:dyDescent="0.3">
      <c r="B67" s="9" t="s">
        <v>43</v>
      </c>
      <c r="C67" s="8"/>
      <c r="D67" s="8"/>
      <c r="E67" s="8"/>
      <c r="F67" s="37"/>
      <c r="G67" s="25"/>
    </row>
    <row r="69" spans="2:7" ht="4.2" customHeight="1" x14ac:dyDescent="0.3">
      <c r="B69" s="8"/>
      <c r="C69" s="8"/>
      <c r="D69" s="8"/>
      <c r="E69" s="8"/>
      <c r="F69" s="37"/>
      <c r="G69" s="25"/>
    </row>
    <row r="70" spans="2:7" ht="18.600000000000001" customHeight="1" x14ac:dyDescent="0.3">
      <c r="B70" s="8"/>
      <c r="C70" s="8"/>
      <c r="D70" s="8"/>
      <c r="E70" s="8"/>
      <c r="F70" s="37"/>
      <c r="G70" s="25"/>
    </row>
    <row r="71" spans="2:7" ht="18.600000000000001" customHeight="1" x14ac:dyDescent="0.3">
      <c r="B71" s="8"/>
      <c r="C71" s="8"/>
      <c r="D71" s="8"/>
      <c r="E71" s="8"/>
      <c r="F71" s="37"/>
      <c r="G71" s="25"/>
    </row>
    <row r="72" spans="2:7" ht="18.600000000000001" customHeight="1" x14ac:dyDescent="0.3">
      <c r="B72" s="8"/>
      <c r="C72" s="8"/>
      <c r="D72" s="8"/>
      <c r="E72" s="8"/>
      <c r="F72" s="37"/>
      <c r="G72" s="25"/>
    </row>
  </sheetData>
  <mergeCells count="43">
    <mergeCell ref="F41:G41"/>
    <mergeCell ref="F42:G42"/>
    <mergeCell ref="C43:E43"/>
    <mergeCell ref="B48:G49"/>
    <mergeCell ref="D41:E41"/>
    <mergeCell ref="D42:E42"/>
    <mergeCell ref="B42:C42"/>
    <mergeCell ref="B33:C33"/>
    <mergeCell ref="D34:E34"/>
    <mergeCell ref="G35:G36"/>
    <mergeCell ref="B38:C38"/>
    <mergeCell ref="G38:G40"/>
    <mergeCell ref="B40:C40"/>
    <mergeCell ref="D19:E19"/>
    <mergeCell ref="B20:C20"/>
    <mergeCell ref="G20:G22"/>
    <mergeCell ref="B39:C39"/>
    <mergeCell ref="B21:C21"/>
    <mergeCell ref="B22:C22"/>
    <mergeCell ref="D23:E23"/>
    <mergeCell ref="B24:C24"/>
    <mergeCell ref="G24:G30"/>
    <mergeCell ref="B25:C25"/>
    <mergeCell ref="B27:C27"/>
    <mergeCell ref="D37:E37"/>
    <mergeCell ref="B30:C30"/>
    <mergeCell ref="D31:E31"/>
    <mergeCell ref="B32:C32"/>
    <mergeCell ref="G32:G33"/>
    <mergeCell ref="B12:B13"/>
    <mergeCell ref="B14:B15"/>
    <mergeCell ref="G17:G18"/>
    <mergeCell ref="B18:C18"/>
    <mergeCell ref="C1:G6"/>
    <mergeCell ref="B4:B5"/>
    <mergeCell ref="C8:E8"/>
    <mergeCell ref="C9:E9"/>
    <mergeCell ref="C10:E10"/>
    <mergeCell ref="C11:E11"/>
    <mergeCell ref="C12:E12"/>
    <mergeCell ref="C13:E13"/>
    <mergeCell ref="D16:E16"/>
    <mergeCell ref="B17:C17"/>
  </mergeCells>
  <printOptions horizontalCentered="1" verticalCentered="1"/>
  <pageMargins left="0" right="0" top="0" bottom="0" header="0.3" footer="0.3"/>
  <pageSetup scale="9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btnCapture">
          <controlPr defaultSize="0" autoLine="0" r:id="rId5">
            <anchor moveWithCells="1">
              <from>
                <xdr:col>5</xdr:col>
                <xdr:colOff>563880</xdr:colOff>
                <xdr:row>9</xdr:row>
                <xdr:rowOff>30480</xdr:rowOff>
              </from>
              <to>
                <xdr:col>12</xdr:col>
                <xdr:colOff>419100</xdr:colOff>
                <xdr:row>18</xdr:row>
                <xdr:rowOff>22860</xdr:rowOff>
              </to>
            </anchor>
          </controlPr>
        </control>
      </mc:Choice>
      <mc:Fallback>
        <control shapeId="1025" r:id="rId4" name="btnCaptur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D57"/>
  <sheetViews>
    <sheetView zoomScale="55" zoomScaleNormal="55" workbookViewId="0">
      <selection activeCell="X39" sqref="X39"/>
    </sheetView>
  </sheetViews>
  <sheetFormatPr defaultRowHeight="14.4" x14ac:dyDescent="0.3"/>
  <cols>
    <col min="1" max="1" width="13.109375" style="58" customWidth="1"/>
    <col min="14" max="14" width="14.88671875" bestFit="1" customWidth="1"/>
    <col min="15" max="15" width="13.88671875" style="58" customWidth="1"/>
    <col min="16" max="16" width="12.5546875" style="59" customWidth="1"/>
    <col min="17" max="17" width="14.21875" style="59" customWidth="1"/>
    <col min="18" max="18" width="18.6640625" customWidth="1"/>
    <col min="19" max="19" width="11.21875" customWidth="1"/>
    <col min="20" max="20" width="8.88671875" style="59"/>
    <col min="21" max="21" width="80.5546875" customWidth="1"/>
    <col min="22" max="22" width="8.109375" customWidth="1"/>
    <col min="23" max="23" width="9.109375" customWidth="1"/>
    <col min="24" max="24" width="19.5546875" customWidth="1"/>
    <col min="26" max="26" width="8.88671875" style="59"/>
    <col min="27" max="27" width="88.44140625" bestFit="1" customWidth="1"/>
  </cols>
  <sheetData>
    <row r="2" spans="1:30" ht="18" x14ac:dyDescent="0.35">
      <c r="N2" s="60" t="s">
        <v>54</v>
      </c>
      <c r="R2" s="61"/>
    </row>
    <row r="5" spans="1:30" ht="18" x14ac:dyDescent="0.35">
      <c r="A5" s="61"/>
      <c r="N5" s="62" t="s">
        <v>10</v>
      </c>
      <c r="P5" s="62" t="s">
        <v>55</v>
      </c>
      <c r="Q5" s="62" t="s">
        <v>56</v>
      </c>
      <c r="R5" s="62" t="s">
        <v>10</v>
      </c>
      <c r="S5" s="63" t="s">
        <v>11</v>
      </c>
      <c r="T5" s="64" t="s">
        <v>57</v>
      </c>
      <c r="U5" s="65" t="s">
        <v>58</v>
      </c>
      <c r="AA5" s="66" t="s">
        <v>59</v>
      </c>
      <c r="AC5" s="59"/>
      <c r="AD5" s="67" t="s">
        <v>10</v>
      </c>
    </row>
    <row r="6" spans="1:30" ht="28.2" x14ac:dyDescent="0.35">
      <c r="A6" s="68"/>
      <c r="N6" s="62" t="s">
        <v>16</v>
      </c>
      <c r="O6" s="69"/>
      <c r="P6" s="70" t="s">
        <v>73</v>
      </c>
      <c r="Q6" s="70" t="s">
        <v>74</v>
      </c>
      <c r="R6" s="56" t="s">
        <v>91</v>
      </c>
      <c r="S6" s="72">
        <v>15</v>
      </c>
      <c r="T6" s="73">
        <f t="shared" ref="T6:T24" si="0">S6/$S$25</f>
        <v>0.18518518518518517</v>
      </c>
      <c r="U6" s="74">
        <f>IF(T6=$T$6,T6,T6+U5)</f>
        <v>0.18518518518518517</v>
      </c>
      <c r="V6" s="84">
        <f>T6</f>
        <v>0.18518518518518517</v>
      </c>
      <c r="AA6" s="6" t="s">
        <v>62</v>
      </c>
      <c r="AC6" s="59">
        <v>1</v>
      </c>
      <c r="AD6" t="s">
        <v>14</v>
      </c>
    </row>
    <row r="7" spans="1:30" ht="18" x14ac:dyDescent="0.35">
      <c r="A7" s="68"/>
      <c r="N7" s="62" t="s">
        <v>20</v>
      </c>
      <c r="O7" s="69"/>
      <c r="P7" s="70" t="s">
        <v>60</v>
      </c>
      <c r="Q7" s="70" t="s">
        <v>61</v>
      </c>
      <c r="R7" s="71" t="s">
        <v>59</v>
      </c>
      <c r="S7" s="72">
        <v>9</v>
      </c>
      <c r="T7" s="73">
        <f t="shared" si="0"/>
        <v>0.1111111111111111</v>
      </c>
      <c r="U7" s="74">
        <f t="shared" ref="U7:U24" si="1">IF(T7=$T$6,T7,T7+U6)</f>
        <v>0.29629629629629628</v>
      </c>
      <c r="AA7" s="66" t="s">
        <v>63</v>
      </c>
      <c r="AC7" s="59">
        <v>2</v>
      </c>
      <c r="AD7" t="s">
        <v>15</v>
      </c>
    </row>
    <row r="8" spans="1:30" ht="18" x14ac:dyDescent="0.35">
      <c r="A8" s="68"/>
      <c r="N8" s="62" t="s">
        <v>28</v>
      </c>
      <c r="O8" s="69"/>
      <c r="P8" s="70" t="s">
        <v>60</v>
      </c>
      <c r="Q8" s="70" t="s">
        <v>61</v>
      </c>
      <c r="R8" s="6" t="s">
        <v>62</v>
      </c>
      <c r="S8" s="72">
        <v>7</v>
      </c>
      <c r="T8" s="73">
        <f t="shared" si="0"/>
        <v>8.6419753086419748E-2</v>
      </c>
      <c r="U8" s="74">
        <f t="shared" si="1"/>
        <v>0.38271604938271603</v>
      </c>
      <c r="AA8" s="71" t="s">
        <v>66</v>
      </c>
      <c r="AC8" s="59"/>
      <c r="AD8" s="67" t="s">
        <v>16</v>
      </c>
    </row>
    <row r="9" spans="1:30" ht="28.2" x14ac:dyDescent="0.35">
      <c r="A9" s="68"/>
      <c r="N9" s="62" t="s">
        <v>31</v>
      </c>
      <c r="O9" s="69"/>
      <c r="P9" s="70" t="s">
        <v>82</v>
      </c>
      <c r="Q9" s="70" t="s">
        <v>34</v>
      </c>
      <c r="R9" s="56" t="s">
        <v>83</v>
      </c>
      <c r="S9" s="72">
        <v>7</v>
      </c>
      <c r="T9" s="73">
        <f t="shared" si="0"/>
        <v>8.6419753086419748E-2</v>
      </c>
      <c r="U9" s="74">
        <f t="shared" si="1"/>
        <v>0.46913580246913578</v>
      </c>
      <c r="AA9" s="76" t="s">
        <v>69</v>
      </c>
      <c r="AC9" s="59">
        <v>3</v>
      </c>
      <c r="AD9" t="s">
        <v>17</v>
      </c>
    </row>
    <row r="10" spans="1:30" ht="18" x14ac:dyDescent="0.35">
      <c r="A10" s="68"/>
      <c r="N10" s="62" t="s">
        <v>34</v>
      </c>
      <c r="O10" s="69"/>
      <c r="P10" s="70" t="s">
        <v>64</v>
      </c>
      <c r="Q10" s="70" t="s">
        <v>65</v>
      </c>
      <c r="R10" s="71" t="s">
        <v>63</v>
      </c>
      <c r="S10" s="72">
        <v>6</v>
      </c>
      <c r="T10" s="73">
        <f t="shared" si="0"/>
        <v>7.407407407407407E-2</v>
      </c>
      <c r="U10" s="74">
        <f t="shared" si="1"/>
        <v>0.54320987654320985</v>
      </c>
      <c r="AA10" s="71" t="s">
        <v>70</v>
      </c>
      <c r="AC10" s="59">
        <v>4</v>
      </c>
      <c r="AD10" t="s">
        <v>18</v>
      </c>
    </row>
    <row r="11" spans="1:30" ht="69.599999999999994" x14ac:dyDescent="0.35">
      <c r="A11" s="68"/>
      <c r="O11" s="69"/>
      <c r="P11" s="70" t="s">
        <v>82</v>
      </c>
      <c r="Q11" s="70" t="s">
        <v>34</v>
      </c>
      <c r="R11" s="56" t="s">
        <v>84</v>
      </c>
      <c r="S11" s="72">
        <v>6</v>
      </c>
      <c r="T11" s="73">
        <f t="shared" si="0"/>
        <v>7.407407407407407E-2</v>
      </c>
      <c r="U11" s="74">
        <f t="shared" si="1"/>
        <v>0.61728395061728392</v>
      </c>
      <c r="AA11" s="66" t="s">
        <v>71</v>
      </c>
      <c r="AC11" s="59">
        <v>5</v>
      </c>
      <c r="AD11" t="s">
        <v>19</v>
      </c>
    </row>
    <row r="12" spans="1:30" x14ac:dyDescent="0.3">
      <c r="A12" s="68"/>
      <c r="P12" s="70" t="s">
        <v>67</v>
      </c>
      <c r="Q12" s="75" t="s">
        <v>68</v>
      </c>
      <c r="R12" s="71" t="s">
        <v>66</v>
      </c>
      <c r="S12" s="72">
        <v>5</v>
      </c>
      <c r="T12" s="73">
        <f t="shared" si="0"/>
        <v>6.1728395061728392E-2</v>
      </c>
      <c r="U12" s="74">
        <f t="shared" si="1"/>
        <v>0.67901234567901225</v>
      </c>
      <c r="AA12" s="56" t="s">
        <v>72</v>
      </c>
      <c r="AC12" s="59"/>
      <c r="AD12" s="67" t="s">
        <v>20</v>
      </c>
    </row>
    <row r="13" spans="1:30" x14ac:dyDescent="0.3">
      <c r="A13" s="68"/>
      <c r="P13" s="70" t="s">
        <v>60</v>
      </c>
      <c r="Q13" s="70" t="s">
        <v>61</v>
      </c>
      <c r="R13" s="6" t="s">
        <v>69</v>
      </c>
      <c r="S13" s="72">
        <v>5</v>
      </c>
      <c r="T13" s="73">
        <f t="shared" si="0"/>
        <v>6.1728395061728392E-2</v>
      </c>
      <c r="U13" s="74">
        <f t="shared" si="1"/>
        <v>0.7407407407407407</v>
      </c>
      <c r="AA13" s="66" t="s">
        <v>75</v>
      </c>
      <c r="AC13" s="59">
        <v>6</v>
      </c>
      <c r="AD13" t="s">
        <v>21</v>
      </c>
    </row>
    <row r="14" spans="1:30" ht="69" x14ac:dyDescent="0.3">
      <c r="A14" s="68"/>
      <c r="P14" s="70" t="s">
        <v>60</v>
      </c>
      <c r="Q14" s="70" t="s">
        <v>61</v>
      </c>
      <c r="R14" s="56" t="s">
        <v>86</v>
      </c>
      <c r="S14" s="72">
        <v>5</v>
      </c>
      <c r="T14" s="73">
        <f t="shared" si="0"/>
        <v>6.1728395061728392E-2</v>
      </c>
      <c r="U14" s="74">
        <f t="shared" si="1"/>
        <v>0.80246913580246915</v>
      </c>
      <c r="AA14" s="56" t="s">
        <v>76</v>
      </c>
      <c r="AC14" s="59">
        <v>7</v>
      </c>
      <c r="AD14" t="s">
        <v>22</v>
      </c>
    </row>
    <row r="15" spans="1:30" x14ac:dyDescent="0.3">
      <c r="A15" s="68"/>
      <c r="P15" s="70" t="s">
        <v>67</v>
      </c>
      <c r="Q15" s="70" t="s">
        <v>68</v>
      </c>
      <c r="R15" s="71" t="s">
        <v>70</v>
      </c>
      <c r="S15" s="72">
        <v>4</v>
      </c>
      <c r="T15" s="73">
        <f t="shared" si="0"/>
        <v>4.9382716049382713E-2</v>
      </c>
      <c r="U15" s="74">
        <f t="shared" si="1"/>
        <v>0.85185185185185186</v>
      </c>
      <c r="AA15" s="66" t="s">
        <v>77</v>
      </c>
      <c r="AC15" s="59">
        <v>8</v>
      </c>
      <c r="AD15" t="s">
        <v>23</v>
      </c>
    </row>
    <row r="16" spans="1:30" x14ac:dyDescent="0.3">
      <c r="A16" s="68"/>
      <c r="P16" s="70" t="s">
        <v>64</v>
      </c>
      <c r="Q16" s="70" t="s">
        <v>65</v>
      </c>
      <c r="R16" s="71" t="s">
        <v>78</v>
      </c>
      <c r="S16" s="72">
        <v>4</v>
      </c>
      <c r="T16" s="73">
        <f t="shared" si="0"/>
        <v>4.9382716049382713E-2</v>
      </c>
      <c r="U16" s="74">
        <f t="shared" si="1"/>
        <v>0.90123456790123457</v>
      </c>
      <c r="AA16" s="71" t="s">
        <v>78</v>
      </c>
      <c r="AC16" s="59">
        <v>9</v>
      </c>
      <c r="AD16" t="s">
        <v>24</v>
      </c>
    </row>
    <row r="17" spans="1:30" x14ac:dyDescent="0.3">
      <c r="A17" s="68"/>
      <c r="P17" s="70" t="s">
        <v>60</v>
      </c>
      <c r="Q17" s="70" t="s">
        <v>61</v>
      </c>
      <c r="R17" s="71" t="s">
        <v>71</v>
      </c>
      <c r="S17" s="72">
        <v>3</v>
      </c>
      <c r="T17" s="73">
        <f t="shared" si="0"/>
        <v>3.7037037037037035E-2</v>
      </c>
      <c r="U17" s="74">
        <f t="shared" si="1"/>
        <v>0.93827160493827155</v>
      </c>
      <c r="AA17" s="77" t="s">
        <v>79</v>
      </c>
      <c r="AC17" s="59">
        <v>10</v>
      </c>
      <c r="AD17" t="s">
        <v>25</v>
      </c>
    </row>
    <row r="18" spans="1:30" ht="27.6" x14ac:dyDescent="0.3">
      <c r="A18" s="78"/>
      <c r="P18" s="70" t="s">
        <v>73</v>
      </c>
      <c r="Q18" s="70" t="s">
        <v>74</v>
      </c>
      <c r="R18" s="56" t="s">
        <v>72</v>
      </c>
      <c r="S18" s="72">
        <v>2</v>
      </c>
      <c r="T18" s="73">
        <f t="shared" si="0"/>
        <v>2.4691358024691357E-2</v>
      </c>
      <c r="U18" s="74">
        <f t="shared" si="1"/>
        <v>0.96296296296296291</v>
      </c>
      <c r="AA18" s="56" t="s">
        <v>79</v>
      </c>
      <c r="AC18" s="59">
        <v>11</v>
      </c>
      <c r="AD18" t="s">
        <v>26</v>
      </c>
    </row>
    <row r="19" spans="1:30" x14ac:dyDescent="0.3">
      <c r="A19" s="78"/>
      <c r="P19" s="70" t="s">
        <v>60</v>
      </c>
      <c r="Q19" s="70" t="s">
        <v>61</v>
      </c>
      <c r="R19" s="71" t="s">
        <v>75</v>
      </c>
      <c r="S19" s="72">
        <v>2</v>
      </c>
      <c r="T19" s="73">
        <f t="shared" si="0"/>
        <v>2.4691358024691357E-2</v>
      </c>
      <c r="U19" s="74">
        <f t="shared" si="1"/>
        <v>0.98765432098765427</v>
      </c>
      <c r="AA19" s="77" t="s">
        <v>81</v>
      </c>
      <c r="AC19" s="59">
        <v>12</v>
      </c>
      <c r="AD19" t="s">
        <v>27</v>
      </c>
    </row>
    <row r="20" spans="1:30" x14ac:dyDescent="0.3">
      <c r="A20" s="78"/>
      <c r="P20" s="70" t="s">
        <v>60</v>
      </c>
      <c r="Q20" s="70" t="s">
        <v>61</v>
      </c>
      <c r="R20" s="71" t="s">
        <v>77</v>
      </c>
      <c r="S20" s="72">
        <v>1</v>
      </c>
      <c r="T20" s="73">
        <f t="shared" si="0"/>
        <v>1.2345679012345678E-2</v>
      </c>
      <c r="U20" s="74">
        <f t="shared" si="1"/>
        <v>1</v>
      </c>
      <c r="AA20" s="56" t="s">
        <v>83</v>
      </c>
      <c r="AC20" s="59"/>
      <c r="AD20" s="67" t="s">
        <v>28</v>
      </c>
    </row>
    <row r="21" spans="1:30" ht="55.2" x14ac:dyDescent="0.3">
      <c r="A21" s="78"/>
      <c r="P21" s="70" t="s">
        <v>80</v>
      </c>
      <c r="Q21" s="70" t="s">
        <v>31</v>
      </c>
      <c r="R21" s="56" t="s">
        <v>79</v>
      </c>
      <c r="S21" s="72">
        <v>0</v>
      </c>
      <c r="T21" s="73">
        <f t="shared" si="0"/>
        <v>0</v>
      </c>
      <c r="U21" s="74">
        <f t="shared" si="1"/>
        <v>1</v>
      </c>
      <c r="AA21" s="77" t="s">
        <v>84</v>
      </c>
      <c r="AC21" s="59">
        <v>13</v>
      </c>
      <c r="AD21" s="79" t="s">
        <v>29</v>
      </c>
    </row>
    <row r="22" spans="1:30" ht="55.2" x14ac:dyDescent="0.3">
      <c r="A22" s="78"/>
      <c r="P22" s="70" t="s">
        <v>80</v>
      </c>
      <c r="Q22" s="70" t="s">
        <v>31</v>
      </c>
      <c r="R22" s="56" t="s">
        <v>79</v>
      </c>
      <c r="S22" s="72">
        <v>0</v>
      </c>
      <c r="T22" s="73">
        <f t="shared" si="0"/>
        <v>0</v>
      </c>
      <c r="U22" s="74">
        <f t="shared" si="1"/>
        <v>1</v>
      </c>
      <c r="AA22" s="56" t="s">
        <v>85</v>
      </c>
      <c r="AC22" s="59">
        <v>14</v>
      </c>
      <c r="AD22" t="s">
        <v>30</v>
      </c>
    </row>
    <row r="23" spans="1:30" ht="41.4" x14ac:dyDescent="0.3">
      <c r="A23" s="78"/>
      <c r="P23" s="70" t="s">
        <v>82</v>
      </c>
      <c r="Q23" s="70" t="s">
        <v>34</v>
      </c>
      <c r="R23" s="56" t="s">
        <v>81</v>
      </c>
      <c r="S23" s="72">
        <v>0</v>
      </c>
      <c r="T23" s="73">
        <f t="shared" si="0"/>
        <v>0</v>
      </c>
      <c r="U23" s="74">
        <f t="shared" si="1"/>
        <v>1</v>
      </c>
      <c r="AA23" s="77" t="s">
        <v>86</v>
      </c>
      <c r="AC23" s="59"/>
      <c r="AD23" s="67" t="s">
        <v>31</v>
      </c>
    </row>
    <row r="24" spans="1:30" ht="27.6" x14ac:dyDescent="0.3">
      <c r="A24" s="78"/>
      <c r="P24" s="70" t="s">
        <v>73</v>
      </c>
      <c r="Q24" s="70" t="s">
        <v>74</v>
      </c>
      <c r="R24" s="56" t="s">
        <v>85</v>
      </c>
      <c r="S24" s="72">
        <v>0</v>
      </c>
      <c r="T24" s="73">
        <f t="shared" si="0"/>
        <v>0</v>
      </c>
      <c r="U24" s="74">
        <f t="shared" si="1"/>
        <v>1</v>
      </c>
      <c r="AC24" s="59">
        <v>15</v>
      </c>
      <c r="AD24" t="s">
        <v>32</v>
      </c>
    </row>
    <row r="25" spans="1:30" x14ac:dyDescent="0.3">
      <c r="S25" s="80">
        <f>SUM(S6:S7,S8:S10,S11:S17,S18:S19,S20:S21,S22:S24)</f>
        <v>81</v>
      </c>
      <c r="AC25" s="59">
        <v>16</v>
      </c>
      <c r="AD25" t="s">
        <v>33</v>
      </c>
    </row>
    <row r="26" spans="1:30" x14ac:dyDescent="0.3">
      <c r="AC26" s="59"/>
      <c r="AD26" s="67" t="s">
        <v>34</v>
      </c>
    </row>
    <row r="27" spans="1:30" x14ac:dyDescent="0.3">
      <c r="AC27" s="59">
        <v>17</v>
      </c>
      <c r="AD27" t="s">
        <v>35</v>
      </c>
    </row>
    <row r="28" spans="1:30" x14ac:dyDescent="0.3">
      <c r="AC28" s="59">
        <v>18</v>
      </c>
      <c r="AD28" t="s">
        <v>36</v>
      </c>
    </row>
    <row r="29" spans="1:30" x14ac:dyDescent="0.3">
      <c r="AC29" s="59">
        <v>19</v>
      </c>
      <c r="AD29" t="s">
        <v>37</v>
      </c>
    </row>
    <row r="38" spans="16:24" x14ac:dyDescent="0.3">
      <c r="P38" s="101" t="s">
        <v>87</v>
      </c>
      <c r="Q38" t="s">
        <v>88</v>
      </c>
      <c r="R38" t="s">
        <v>89</v>
      </c>
      <c r="U38" s="101" t="s">
        <v>87</v>
      </c>
      <c r="V38" t="s">
        <v>92</v>
      </c>
      <c r="W38" t="s">
        <v>93</v>
      </c>
    </row>
    <row r="39" spans="16:24" x14ac:dyDescent="0.3">
      <c r="P39" s="81" t="s">
        <v>61</v>
      </c>
      <c r="Q39" s="82">
        <v>32</v>
      </c>
      <c r="R39" s="83">
        <v>0.36842105263157893</v>
      </c>
      <c r="U39" s="81" t="s">
        <v>91</v>
      </c>
      <c r="V39" s="82">
        <v>15</v>
      </c>
      <c r="W39" s="83">
        <v>0.18518518518518517</v>
      </c>
      <c r="X39" s="85">
        <f>IF(W39=$W$39,W39,W39+Y38)</f>
        <v>0.18518518518518517</v>
      </c>
    </row>
    <row r="40" spans="16:24" x14ac:dyDescent="0.3">
      <c r="P40" s="81" t="s">
        <v>74</v>
      </c>
      <c r="Q40" s="82">
        <v>17</v>
      </c>
      <c r="R40" s="83">
        <v>0.52631578947368418</v>
      </c>
      <c r="U40" s="81" t="s">
        <v>59</v>
      </c>
      <c r="V40" s="82">
        <v>9</v>
      </c>
      <c r="W40" s="83">
        <v>0.1111111111111111</v>
      </c>
      <c r="X40" s="85">
        <f t="shared" ref="X40:X56" si="2">IF(W40=$W$39,W40,W40+X39)</f>
        <v>0.29629629629629628</v>
      </c>
    </row>
    <row r="41" spans="16:24" x14ac:dyDescent="0.3">
      <c r="P41" s="81" t="s">
        <v>34</v>
      </c>
      <c r="Q41" s="82">
        <v>13</v>
      </c>
      <c r="R41" s="83">
        <v>0.68421052631578949</v>
      </c>
      <c r="U41" s="81" t="s">
        <v>62</v>
      </c>
      <c r="V41" s="82">
        <v>7</v>
      </c>
      <c r="W41" s="83">
        <v>8.6419753086419748E-2</v>
      </c>
      <c r="X41" s="85">
        <f t="shared" si="2"/>
        <v>0.38271604938271603</v>
      </c>
    </row>
    <row r="42" spans="16:24" x14ac:dyDescent="0.3">
      <c r="P42" s="81" t="s">
        <v>65</v>
      </c>
      <c r="Q42" s="82">
        <v>10</v>
      </c>
      <c r="R42" s="83">
        <v>0.78947368421052633</v>
      </c>
      <c r="U42" s="81" t="s">
        <v>83</v>
      </c>
      <c r="V42" s="82">
        <v>7</v>
      </c>
      <c r="W42" s="83">
        <v>8.6419753086419748E-2</v>
      </c>
      <c r="X42" s="85">
        <f t="shared" si="2"/>
        <v>0.46913580246913578</v>
      </c>
    </row>
    <row r="43" spans="16:24" x14ac:dyDescent="0.3">
      <c r="P43" s="81" t="s">
        <v>68</v>
      </c>
      <c r="Q43" s="82">
        <v>9</v>
      </c>
      <c r="R43" s="83">
        <v>0.89473684210526316</v>
      </c>
      <c r="U43" s="81" t="s">
        <v>63</v>
      </c>
      <c r="V43" s="82">
        <v>6</v>
      </c>
      <c r="W43" s="83">
        <v>7.407407407407407E-2</v>
      </c>
      <c r="X43" s="85">
        <f t="shared" si="2"/>
        <v>0.54320987654320985</v>
      </c>
    </row>
    <row r="44" spans="16:24" x14ac:dyDescent="0.3">
      <c r="P44" s="81" t="s">
        <v>31</v>
      </c>
      <c r="Q44" s="82">
        <v>0</v>
      </c>
      <c r="R44" s="83">
        <v>1</v>
      </c>
      <c r="U44" s="81" t="s">
        <v>84</v>
      </c>
      <c r="V44" s="82">
        <v>6</v>
      </c>
      <c r="W44" s="83">
        <v>7.407407407407407E-2</v>
      </c>
      <c r="X44" s="85">
        <f t="shared" si="2"/>
        <v>0.61728395061728392</v>
      </c>
    </row>
    <row r="45" spans="16:24" x14ac:dyDescent="0.3">
      <c r="P45"/>
      <c r="Q45"/>
      <c r="U45" s="81" t="s">
        <v>69</v>
      </c>
      <c r="V45" s="82">
        <v>5</v>
      </c>
      <c r="W45" s="83">
        <v>6.1728395061728392E-2</v>
      </c>
      <c r="X45" s="85">
        <f t="shared" si="2"/>
        <v>0.67901234567901225</v>
      </c>
    </row>
    <row r="46" spans="16:24" x14ac:dyDescent="0.3">
      <c r="P46"/>
      <c r="Q46"/>
      <c r="U46" s="81" t="s">
        <v>86</v>
      </c>
      <c r="V46" s="82">
        <v>5</v>
      </c>
      <c r="W46" s="83">
        <v>6.1728395061728392E-2</v>
      </c>
      <c r="X46" s="85">
        <f t="shared" si="2"/>
        <v>0.7407407407407407</v>
      </c>
    </row>
    <row r="47" spans="16:24" x14ac:dyDescent="0.3">
      <c r="P47"/>
      <c r="Q47"/>
      <c r="U47" s="81" t="s">
        <v>66</v>
      </c>
      <c r="V47" s="82">
        <v>5</v>
      </c>
      <c r="W47" s="83">
        <v>6.1728395061728392E-2</v>
      </c>
      <c r="X47" s="85">
        <f t="shared" si="2"/>
        <v>0.80246913580246915</v>
      </c>
    </row>
    <row r="48" spans="16:24" x14ac:dyDescent="0.3">
      <c r="P48"/>
      <c r="Q48"/>
      <c r="U48" s="81" t="s">
        <v>70</v>
      </c>
      <c r="V48" s="82">
        <v>4</v>
      </c>
      <c r="W48" s="83">
        <v>4.9382716049382713E-2</v>
      </c>
      <c r="X48" s="85">
        <f t="shared" si="2"/>
        <v>0.85185185185185186</v>
      </c>
    </row>
    <row r="49" spans="16:24" x14ac:dyDescent="0.3">
      <c r="P49"/>
      <c r="Q49"/>
      <c r="U49" s="81" t="s">
        <v>78</v>
      </c>
      <c r="V49" s="82">
        <v>4</v>
      </c>
      <c r="W49" s="83">
        <v>4.9382716049382713E-2</v>
      </c>
      <c r="X49" s="85">
        <f t="shared" si="2"/>
        <v>0.90123456790123457</v>
      </c>
    </row>
    <row r="50" spans="16:24" x14ac:dyDescent="0.3">
      <c r="P50"/>
      <c r="Q50"/>
      <c r="U50" s="81" t="s">
        <v>71</v>
      </c>
      <c r="V50" s="82">
        <v>3</v>
      </c>
      <c r="W50" s="83">
        <v>3.7037037037037035E-2</v>
      </c>
      <c r="X50" s="85">
        <f t="shared" si="2"/>
        <v>0.93827160493827155</v>
      </c>
    </row>
    <row r="51" spans="16:24" x14ac:dyDescent="0.3">
      <c r="P51"/>
      <c r="Q51"/>
      <c r="U51" s="81" t="s">
        <v>75</v>
      </c>
      <c r="V51" s="82">
        <v>2</v>
      </c>
      <c r="W51" s="83">
        <v>2.4691358024691357E-2</v>
      </c>
      <c r="X51" s="85">
        <f t="shared" si="2"/>
        <v>0.96296296296296291</v>
      </c>
    </row>
    <row r="52" spans="16:24" x14ac:dyDescent="0.3">
      <c r="P52"/>
      <c r="Q52"/>
      <c r="U52" s="81" t="s">
        <v>72</v>
      </c>
      <c r="V52" s="82">
        <v>2</v>
      </c>
      <c r="W52" s="83">
        <v>2.4691358024691357E-2</v>
      </c>
      <c r="X52" s="85">
        <f t="shared" si="2"/>
        <v>0.98765432098765427</v>
      </c>
    </row>
    <row r="53" spans="16:24" x14ac:dyDescent="0.3">
      <c r="P53"/>
      <c r="Q53"/>
      <c r="U53" s="81" t="s">
        <v>77</v>
      </c>
      <c r="V53" s="82">
        <v>1</v>
      </c>
      <c r="W53" s="83">
        <v>1.2345679012345678E-2</v>
      </c>
      <c r="X53" s="85">
        <f t="shared" si="2"/>
        <v>1</v>
      </c>
    </row>
    <row r="54" spans="16:24" x14ac:dyDescent="0.3">
      <c r="P54"/>
      <c r="Q54"/>
      <c r="U54" s="81" t="s">
        <v>81</v>
      </c>
      <c r="V54" s="82">
        <v>0</v>
      </c>
      <c r="W54" s="83">
        <v>0</v>
      </c>
      <c r="X54" s="85">
        <f t="shared" si="2"/>
        <v>1</v>
      </c>
    </row>
    <row r="55" spans="16:24" x14ac:dyDescent="0.3">
      <c r="P55"/>
      <c r="Q55"/>
      <c r="U55" s="81" t="s">
        <v>79</v>
      </c>
      <c r="V55" s="82">
        <v>0</v>
      </c>
      <c r="W55" s="83">
        <v>0</v>
      </c>
      <c r="X55" s="85">
        <f t="shared" si="2"/>
        <v>1</v>
      </c>
    </row>
    <row r="56" spans="16:24" x14ac:dyDescent="0.3">
      <c r="U56" s="81" t="s">
        <v>85</v>
      </c>
      <c r="V56" s="82">
        <v>0</v>
      </c>
      <c r="W56" s="83">
        <v>0</v>
      </c>
      <c r="X56" s="85">
        <f t="shared" si="2"/>
        <v>1</v>
      </c>
    </row>
    <row r="57" spans="16:24" x14ac:dyDescent="0.3">
      <c r="U57" s="81" t="s">
        <v>90</v>
      </c>
      <c r="V57" s="82">
        <v>81</v>
      </c>
      <c r="W57" s="83">
        <v>1</v>
      </c>
    </row>
  </sheetData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6:L60"/>
  <sheetViews>
    <sheetView topLeftCell="A17" zoomScale="85" zoomScaleNormal="85" workbookViewId="0">
      <selection activeCell="I36" sqref="I36"/>
    </sheetView>
  </sheetViews>
  <sheetFormatPr defaultRowHeight="14.4" x14ac:dyDescent="0.3"/>
  <cols>
    <col min="3" max="3" width="3" bestFit="1" customWidth="1"/>
    <col min="4" max="4" width="83.6640625" bestFit="1" customWidth="1"/>
    <col min="9" max="9" width="96.21875" bestFit="1" customWidth="1"/>
    <col min="10" max="11" width="5.109375" bestFit="1" customWidth="1"/>
  </cols>
  <sheetData>
    <row r="6" spans="3:12" x14ac:dyDescent="0.3">
      <c r="E6" t="s">
        <v>262</v>
      </c>
      <c r="F6" t="s">
        <v>263</v>
      </c>
      <c r="G6" t="s">
        <v>244</v>
      </c>
      <c r="J6" t="s">
        <v>262</v>
      </c>
      <c r="K6" t="s">
        <v>263</v>
      </c>
      <c r="L6" t="s">
        <v>244</v>
      </c>
    </row>
    <row r="7" spans="3:12" x14ac:dyDescent="0.3">
      <c r="C7" s="70"/>
      <c r="D7" s="86" t="s">
        <v>10</v>
      </c>
      <c r="E7" s="87"/>
      <c r="F7" s="87"/>
      <c r="G7" s="87"/>
      <c r="I7" s="86" t="s">
        <v>10</v>
      </c>
      <c r="J7" s="87"/>
      <c r="K7" s="87"/>
      <c r="L7" s="87"/>
    </row>
    <row r="8" spans="3:12" x14ac:dyDescent="0.3">
      <c r="C8" s="70">
        <v>1</v>
      </c>
      <c r="D8" s="87" t="s">
        <v>14</v>
      </c>
      <c r="E8" s="87">
        <f>'Resultados Auditorias'!E18</f>
        <v>1</v>
      </c>
      <c r="F8" s="87"/>
      <c r="G8" s="87"/>
      <c r="I8" s="87" t="s">
        <v>14</v>
      </c>
      <c r="J8" s="87"/>
      <c r="K8" s="87"/>
      <c r="L8" s="87"/>
    </row>
    <row r="9" spans="3:12" x14ac:dyDescent="0.3">
      <c r="C9" s="70">
        <v>2</v>
      </c>
      <c r="D9" s="87" t="s">
        <v>15</v>
      </c>
      <c r="E9" s="148">
        <f>'Resultados Auditorias'!E19</f>
        <v>0</v>
      </c>
      <c r="F9" s="87"/>
      <c r="G9" s="87"/>
      <c r="I9" s="87" t="s">
        <v>15</v>
      </c>
      <c r="J9" s="87"/>
      <c r="K9" s="87"/>
      <c r="L9" s="87"/>
    </row>
    <row r="10" spans="3:12" x14ac:dyDescent="0.3">
      <c r="C10" s="70"/>
      <c r="D10" s="86" t="s">
        <v>16</v>
      </c>
      <c r="E10" s="87"/>
      <c r="F10" s="87"/>
      <c r="G10" s="87"/>
      <c r="I10" s="86" t="s">
        <v>16</v>
      </c>
      <c r="J10" s="87"/>
      <c r="K10" s="87"/>
      <c r="L10" s="87"/>
    </row>
    <row r="11" spans="3:12" x14ac:dyDescent="0.3">
      <c r="C11" s="70">
        <v>3</v>
      </c>
      <c r="D11" s="87" t="s">
        <v>17</v>
      </c>
      <c r="E11" s="148">
        <f>'Resultados Auditorias'!E21</f>
        <v>3</v>
      </c>
      <c r="F11" s="87"/>
      <c r="G11" s="87"/>
      <c r="I11" s="87" t="s">
        <v>17</v>
      </c>
      <c r="J11" s="87"/>
      <c r="K11" s="87"/>
      <c r="L11" s="87"/>
    </row>
    <row r="12" spans="3:12" x14ac:dyDescent="0.3">
      <c r="C12" s="70">
        <v>4</v>
      </c>
      <c r="D12" s="87" t="s">
        <v>18</v>
      </c>
      <c r="E12" s="148">
        <f>'Resultados Auditorias'!E22</f>
        <v>4</v>
      </c>
      <c r="F12" s="87"/>
      <c r="G12" s="87"/>
      <c r="I12" s="87" t="s">
        <v>18</v>
      </c>
      <c r="J12" s="87"/>
      <c r="K12" s="87"/>
      <c r="L12" s="87"/>
    </row>
    <row r="13" spans="3:12" x14ac:dyDescent="0.3">
      <c r="C13" s="70">
        <v>5</v>
      </c>
      <c r="D13" s="87" t="s">
        <v>19</v>
      </c>
      <c r="E13" s="148">
        <f>'Resultados Auditorias'!E23</f>
        <v>1</v>
      </c>
      <c r="F13" s="87"/>
      <c r="G13" s="87"/>
      <c r="I13" s="87" t="s">
        <v>19</v>
      </c>
      <c r="J13" s="87"/>
      <c r="K13" s="87"/>
      <c r="L13" s="87"/>
    </row>
    <row r="14" spans="3:12" x14ac:dyDescent="0.3">
      <c r="C14" s="70"/>
      <c r="D14" s="86" t="s">
        <v>20</v>
      </c>
      <c r="E14" s="87"/>
      <c r="F14" s="87"/>
      <c r="G14" s="87"/>
      <c r="I14" s="86" t="s">
        <v>20</v>
      </c>
      <c r="J14" s="87"/>
      <c r="K14" s="87"/>
      <c r="L14" s="87"/>
    </row>
    <row r="15" spans="3:12" x14ac:dyDescent="0.3">
      <c r="C15" s="70">
        <v>6</v>
      </c>
      <c r="D15" s="87" t="s">
        <v>21</v>
      </c>
      <c r="E15" s="148">
        <f>'Resultados Auditorias'!E25</f>
        <v>4</v>
      </c>
      <c r="F15" s="87"/>
      <c r="G15" s="87"/>
      <c r="I15" s="87" t="s">
        <v>21</v>
      </c>
      <c r="J15" s="87"/>
      <c r="K15" s="87"/>
      <c r="L15" s="87"/>
    </row>
    <row r="16" spans="3:12" x14ac:dyDescent="0.3">
      <c r="C16" s="70">
        <v>7</v>
      </c>
      <c r="D16" s="87" t="s">
        <v>22</v>
      </c>
      <c r="E16" s="148">
        <f>'Resultados Auditorias'!E26</f>
        <v>1</v>
      </c>
      <c r="F16" s="87"/>
      <c r="G16" s="87"/>
      <c r="I16" s="87" t="s">
        <v>22</v>
      </c>
      <c r="J16" s="87"/>
      <c r="K16" s="87"/>
      <c r="L16" s="87"/>
    </row>
    <row r="17" spans="3:12" x14ac:dyDescent="0.3">
      <c r="C17" s="70">
        <v>8</v>
      </c>
      <c r="D17" s="87" t="s">
        <v>23</v>
      </c>
      <c r="E17" s="148">
        <f>'Resultados Auditorias'!E27</f>
        <v>2</v>
      </c>
      <c r="F17" s="87"/>
      <c r="G17" s="87"/>
      <c r="I17" s="87" t="s">
        <v>23</v>
      </c>
      <c r="J17" s="87"/>
      <c r="K17" s="87"/>
      <c r="L17" s="87"/>
    </row>
    <row r="18" spans="3:12" x14ac:dyDescent="0.3">
      <c r="C18" s="70">
        <v>9</v>
      </c>
      <c r="D18" s="87" t="s">
        <v>24</v>
      </c>
      <c r="E18" s="148">
        <f>'Resultados Auditorias'!E28</f>
        <v>1</v>
      </c>
      <c r="F18" s="87"/>
      <c r="G18" s="87"/>
      <c r="I18" s="87" t="s">
        <v>24</v>
      </c>
      <c r="J18" s="87"/>
      <c r="K18" s="87"/>
      <c r="L18" s="87"/>
    </row>
    <row r="19" spans="3:12" x14ac:dyDescent="0.3">
      <c r="C19" s="70">
        <v>10</v>
      </c>
      <c r="D19" s="87" t="s">
        <v>25</v>
      </c>
      <c r="E19" s="148">
        <f>'Resultados Auditorias'!E29</f>
        <v>1</v>
      </c>
      <c r="F19" s="87"/>
      <c r="G19" s="87"/>
      <c r="I19" s="87" t="s">
        <v>25</v>
      </c>
      <c r="J19" s="87"/>
      <c r="K19" s="87"/>
      <c r="L19" s="87"/>
    </row>
    <row r="20" spans="3:12" x14ac:dyDescent="0.3">
      <c r="C20" s="70">
        <v>11</v>
      </c>
      <c r="D20" s="87" t="s">
        <v>26</v>
      </c>
      <c r="E20" s="148">
        <f>'Resultados Auditorias'!E30</f>
        <v>1</v>
      </c>
      <c r="F20" s="87"/>
      <c r="G20" s="87"/>
      <c r="I20" s="87" t="s">
        <v>26</v>
      </c>
      <c r="J20" s="87"/>
      <c r="K20" s="87"/>
      <c r="L20" s="87"/>
    </row>
    <row r="21" spans="3:12" x14ac:dyDescent="0.3">
      <c r="C21" s="70">
        <v>12</v>
      </c>
      <c r="D21" s="87" t="s">
        <v>27</v>
      </c>
      <c r="E21" s="148">
        <f>'Resultados Auditorias'!E31</f>
        <v>0</v>
      </c>
      <c r="F21" s="87"/>
      <c r="G21" s="87"/>
      <c r="I21" s="87" t="s">
        <v>27</v>
      </c>
      <c r="J21" s="87"/>
      <c r="K21" s="87"/>
      <c r="L21" s="87"/>
    </row>
    <row r="22" spans="3:12" x14ac:dyDescent="0.3">
      <c r="C22" s="70"/>
      <c r="D22" s="86" t="s">
        <v>28</v>
      </c>
      <c r="E22" s="87"/>
      <c r="F22" s="87"/>
      <c r="G22" s="87"/>
      <c r="I22" s="86" t="s">
        <v>28</v>
      </c>
      <c r="J22" s="87"/>
      <c r="K22" s="87"/>
      <c r="L22" s="87"/>
    </row>
    <row r="23" spans="3:12" x14ac:dyDescent="0.3">
      <c r="C23" s="70">
        <v>13</v>
      </c>
      <c r="D23" s="88" t="s">
        <v>29</v>
      </c>
      <c r="E23" s="148">
        <f>'Resultados Auditorias'!E33</f>
        <v>0</v>
      </c>
      <c r="F23" s="87"/>
      <c r="G23" s="87"/>
      <c r="I23" s="88" t="s">
        <v>29</v>
      </c>
      <c r="J23" s="87"/>
      <c r="K23" s="87"/>
      <c r="L23" s="87"/>
    </row>
    <row r="24" spans="3:12" x14ac:dyDescent="0.3">
      <c r="C24" s="70">
        <v>14</v>
      </c>
      <c r="D24" s="87" t="s">
        <v>30</v>
      </c>
      <c r="E24" s="87"/>
      <c r="F24" s="87"/>
      <c r="G24" s="87"/>
      <c r="I24" s="87" t="s">
        <v>30</v>
      </c>
      <c r="J24" s="87"/>
      <c r="K24" s="87"/>
      <c r="L24" s="87"/>
    </row>
    <row r="25" spans="3:12" x14ac:dyDescent="0.3">
      <c r="C25" s="70"/>
      <c r="D25" s="86" t="s">
        <v>31</v>
      </c>
      <c r="E25" s="87"/>
      <c r="F25" s="87"/>
      <c r="G25" s="87"/>
      <c r="I25" s="86" t="s">
        <v>31</v>
      </c>
      <c r="J25" s="87"/>
      <c r="K25" s="87"/>
      <c r="L25" s="87"/>
    </row>
    <row r="26" spans="3:12" x14ac:dyDescent="0.3">
      <c r="C26" s="70">
        <v>15</v>
      </c>
      <c r="D26" s="87" t="s">
        <v>32</v>
      </c>
      <c r="E26" s="87"/>
      <c r="F26" s="87"/>
      <c r="G26" s="87"/>
      <c r="I26" s="87" t="s">
        <v>32</v>
      </c>
      <c r="J26" s="87"/>
      <c r="K26" s="87"/>
      <c r="L26" s="87"/>
    </row>
    <row r="27" spans="3:12" x14ac:dyDescent="0.3">
      <c r="C27" s="70">
        <v>16</v>
      </c>
      <c r="D27" s="87" t="s">
        <v>33</v>
      </c>
      <c r="E27" s="87"/>
      <c r="F27" s="87"/>
      <c r="G27" s="87"/>
      <c r="I27" s="87" t="s">
        <v>33</v>
      </c>
      <c r="J27" s="87"/>
      <c r="K27" s="87"/>
      <c r="L27" s="87"/>
    </row>
    <row r="28" spans="3:12" x14ac:dyDescent="0.3">
      <c r="C28" s="70"/>
      <c r="D28" s="86" t="s">
        <v>34</v>
      </c>
      <c r="E28" s="87"/>
      <c r="F28" s="87"/>
      <c r="G28" s="87"/>
      <c r="I28" s="86" t="s">
        <v>34</v>
      </c>
      <c r="J28" s="87"/>
      <c r="K28" s="87"/>
      <c r="L28" s="87"/>
    </row>
    <row r="29" spans="3:12" x14ac:dyDescent="0.3">
      <c r="C29" s="70">
        <v>17</v>
      </c>
      <c r="D29" s="87" t="s">
        <v>35</v>
      </c>
      <c r="E29" s="87"/>
      <c r="F29" s="87"/>
      <c r="G29" s="87"/>
      <c r="I29" s="87" t="s">
        <v>35</v>
      </c>
      <c r="J29" s="87"/>
      <c r="K29" s="87"/>
      <c r="L29" s="87"/>
    </row>
    <row r="30" spans="3:12" x14ac:dyDescent="0.3">
      <c r="C30" s="70">
        <v>18</v>
      </c>
      <c r="D30" s="87" t="s">
        <v>36</v>
      </c>
      <c r="E30" s="87"/>
      <c r="F30" s="87"/>
      <c r="G30" s="87"/>
      <c r="I30" s="87" t="s">
        <v>36</v>
      </c>
      <c r="J30" s="87"/>
      <c r="K30" s="87"/>
      <c r="L30" s="87"/>
    </row>
    <row r="31" spans="3:12" x14ac:dyDescent="0.3">
      <c r="C31" s="70">
        <v>19</v>
      </c>
      <c r="D31" s="87" t="s">
        <v>37</v>
      </c>
      <c r="E31" s="87"/>
      <c r="F31" s="87"/>
      <c r="G31" s="87"/>
      <c r="I31" s="87" t="s">
        <v>37</v>
      </c>
      <c r="J31" s="87"/>
      <c r="K31" s="87"/>
      <c r="L31" s="87"/>
    </row>
    <row r="36" spans="3:7" ht="18" x14ac:dyDescent="0.35">
      <c r="C36" s="38" t="s">
        <v>10</v>
      </c>
      <c r="D36" s="93"/>
      <c r="E36" s="16"/>
      <c r="F36" s="215" t="s">
        <v>11</v>
      </c>
      <c r="G36" s="216"/>
    </row>
    <row r="37" spans="3:7" x14ac:dyDescent="0.3">
      <c r="C37" s="200" t="s">
        <v>14</v>
      </c>
      <c r="D37" s="221"/>
      <c r="E37" s="201"/>
      <c r="F37" s="110" t="str">
        <f>IF(Consulta!H25="","",Consulta!H25)</f>
        <v/>
      </c>
      <c r="G37" s="110" t="str">
        <f>IF(Consulta!H26="","",Consulta!H26)</f>
        <v/>
      </c>
    </row>
    <row r="38" spans="3:7" x14ac:dyDescent="0.3">
      <c r="C38" s="200" t="s">
        <v>264</v>
      </c>
      <c r="D38" s="221"/>
      <c r="E38" s="201"/>
      <c r="F38" s="161" t="str">
        <f>IF(Consulta!I25="","",Consulta!I25)</f>
        <v/>
      </c>
      <c r="G38" s="161" t="str">
        <f>IF(Consulta!I26="","",Consulta!I26)</f>
        <v/>
      </c>
    </row>
    <row r="39" spans="3:7" ht="18" x14ac:dyDescent="0.35">
      <c r="C39" s="38" t="s">
        <v>16</v>
      </c>
      <c r="D39" s="93"/>
      <c r="E39" s="15"/>
      <c r="F39" s="215" t="s">
        <v>11</v>
      </c>
      <c r="G39" s="216"/>
    </row>
    <row r="40" spans="3:7" x14ac:dyDescent="0.3">
      <c r="C40" s="218" t="s">
        <v>17</v>
      </c>
      <c r="D40" s="219"/>
      <c r="E40" s="219"/>
      <c r="F40" s="162" t="str">
        <f>IF(Consulta!J25="","",Consulta!J25)</f>
        <v/>
      </c>
      <c r="G40" s="162" t="str">
        <f>IF(Consulta!J26="","",Consulta!J26)</f>
        <v/>
      </c>
    </row>
    <row r="41" spans="3:7" x14ac:dyDescent="0.3">
      <c r="C41" s="218" t="s">
        <v>18</v>
      </c>
      <c r="D41" s="219"/>
      <c r="E41" s="219"/>
      <c r="F41" s="162" t="str">
        <f>IF(Consulta!K25="","",Consulta!K25)</f>
        <v/>
      </c>
      <c r="G41" s="162" t="str">
        <f>IF(Consulta!K26="","",Consulta!K26)</f>
        <v/>
      </c>
    </row>
    <row r="42" spans="3:7" x14ac:dyDescent="0.3">
      <c r="C42" s="200" t="s">
        <v>19</v>
      </c>
      <c r="D42" s="221"/>
      <c r="E42" s="221"/>
      <c r="F42" s="162" t="str">
        <f>IF(Consulta!L25="","",Consulta!L25)</f>
        <v/>
      </c>
      <c r="G42" s="162" t="str">
        <f>IF(Consulta!L26="","",Consulta!L26)</f>
        <v/>
      </c>
    </row>
    <row r="43" spans="3:7" ht="18" x14ac:dyDescent="0.35">
      <c r="C43" s="38" t="s">
        <v>20</v>
      </c>
      <c r="D43" s="93"/>
      <c r="E43" s="16"/>
      <c r="F43" s="215" t="s">
        <v>11</v>
      </c>
      <c r="G43" s="216"/>
    </row>
    <row r="44" spans="3:7" x14ac:dyDescent="0.3">
      <c r="C44" s="200" t="s">
        <v>21</v>
      </c>
      <c r="D44" s="221"/>
      <c r="E44" s="201"/>
      <c r="F44" s="162" t="str">
        <f>IF(Consulta!M25="","",Consulta!M25)</f>
        <v/>
      </c>
      <c r="G44" s="162" t="str">
        <f>IF(Consulta!M26="","",Consulta!M26)</f>
        <v/>
      </c>
    </row>
    <row r="45" spans="3:7" x14ac:dyDescent="0.3">
      <c r="C45" s="200" t="s">
        <v>22</v>
      </c>
      <c r="D45" s="221"/>
      <c r="E45" s="201"/>
      <c r="F45" s="162" t="str">
        <f>IF(Consulta!N25="","",Consulta!N25)</f>
        <v/>
      </c>
      <c r="G45" s="162" t="str">
        <f>IF(Consulta!N26="","",Consulta!N26)</f>
        <v/>
      </c>
    </row>
    <row r="46" spans="3:7" x14ac:dyDescent="0.3">
      <c r="C46" s="153" t="s">
        <v>23</v>
      </c>
      <c r="D46" s="156"/>
      <c r="E46" s="154"/>
      <c r="F46" s="162" t="str">
        <f>IF(Consulta!O25="","",Consulta!O25)</f>
        <v/>
      </c>
      <c r="G46" s="162" t="str">
        <f>IF(Consulta!O26="","",Consulta!O26)</f>
        <v/>
      </c>
    </row>
    <row r="47" spans="3:7" x14ac:dyDescent="0.3">
      <c r="C47" s="200" t="s">
        <v>24</v>
      </c>
      <c r="D47" s="221"/>
      <c r="E47" s="201"/>
      <c r="F47" s="162" t="str">
        <f>IF(Consulta!P25="","",Consulta!P25)</f>
        <v/>
      </c>
      <c r="G47" s="162" t="str">
        <f>IF(Consulta!P26="","",Consulta!P26)</f>
        <v/>
      </c>
    </row>
    <row r="48" spans="3:7" x14ac:dyDescent="0.3">
      <c r="C48" s="200" t="s">
        <v>25</v>
      </c>
      <c r="D48" s="221"/>
      <c r="E48" s="201"/>
      <c r="F48" s="162" t="str">
        <f>IF(Consulta!Q25="","",Consulta!Q25)</f>
        <v/>
      </c>
      <c r="G48" s="162" t="str">
        <f>IF(Consulta!Q26="","",Consulta!Q26)</f>
        <v/>
      </c>
    </row>
    <row r="49" spans="3:7" x14ac:dyDescent="0.3">
      <c r="C49" s="200" t="s">
        <v>26</v>
      </c>
      <c r="D49" s="221"/>
      <c r="E49" s="201"/>
      <c r="F49" s="162" t="str">
        <f>IF(Consulta!R25="","",Consulta!R25)</f>
        <v/>
      </c>
      <c r="G49" s="162" t="str">
        <f>IF(Consulta!R26="","",Consulta!R26)</f>
        <v/>
      </c>
    </row>
    <row r="50" spans="3:7" x14ac:dyDescent="0.3">
      <c r="C50" s="222" t="s">
        <v>27</v>
      </c>
      <c r="D50" s="237"/>
      <c r="E50" s="223"/>
      <c r="F50" s="162" t="str">
        <f>IF(Consulta!S25="","",Consulta!S25)</f>
        <v/>
      </c>
      <c r="G50" s="162" t="str">
        <f>IF(Consulta!S26="","",Consulta!S26)</f>
        <v/>
      </c>
    </row>
    <row r="51" spans="3:7" ht="18" x14ac:dyDescent="0.35">
      <c r="C51" s="38" t="s">
        <v>28</v>
      </c>
      <c r="D51" s="93"/>
      <c r="E51" s="16"/>
      <c r="F51" s="215" t="s">
        <v>11</v>
      </c>
      <c r="G51" s="216"/>
    </row>
    <row r="52" spans="3:7" x14ac:dyDescent="0.3">
      <c r="C52" s="200" t="s">
        <v>29</v>
      </c>
      <c r="D52" s="221"/>
      <c r="E52" s="201"/>
      <c r="F52" s="162" t="str">
        <f>IF(Consulta!T25="","",Consulta!T25)</f>
        <v/>
      </c>
      <c r="G52" s="162" t="str">
        <f>IF(Consulta!T26="","",Consulta!T26)</f>
        <v/>
      </c>
    </row>
    <row r="53" spans="3:7" x14ac:dyDescent="0.3">
      <c r="C53" s="200" t="s">
        <v>30</v>
      </c>
      <c r="D53" s="221"/>
      <c r="E53" s="201"/>
      <c r="F53" s="162" t="str">
        <f>IF(Consulta!U25="","",Consulta!U25)</f>
        <v/>
      </c>
      <c r="G53" s="162" t="str">
        <f>IF(Consulta!U26="","",Consulta!U26)</f>
        <v/>
      </c>
    </row>
    <row r="54" spans="3:7" ht="18" x14ac:dyDescent="0.35">
      <c r="C54" s="38" t="s">
        <v>31</v>
      </c>
      <c r="D54" s="93"/>
      <c r="E54" s="15"/>
      <c r="F54" s="215" t="s">
        <v>11</v>
      </c>
      <c r="G54" s="216"/>
    </row>
    <row r="55" spans="3:7" x14ac:dyDescent="0.3">
      <c r="C55" s="153" t="s">
        <v>32</v>
      </c>
      <c r="D55" s="156"/>
      <c r="E55" s="156"/>
      <c r="F55" s="163" t="str">
        <f>IF(Consulta!V25="","",Consulta!V25)</f>
        <v/>
      </c>
      <c r="G55" s="163" t="str">
        <f>IF(Consulta!V26="","",Consulta!V26)</f>
        <v/>
      </c>
    </row>
    <row r="56" spans="3:7" x14ac:dyDescent="0.3">
      <c r="C56" s="153" t="s">
        <v>33</v>
      </c>
      <c r="D56" s="156"/>
      <c r="E56" s="156"/>
      <c r="F56" s="163" t="str">
        <f>IF(Consulta!W25="","",Consulta!W25)</f>
        <v/>
      </c>
      <c r="G56" s="163" t="str">
        <f>IF(Consulta!W26="","",Consulta!W26)</f>
        <v/>
      </c>
    </row>
    <row r="57" spans="3:7" ht="18" x14ac:dyDescent="0.35">
      <c r="C57" s="38" t="s">
        <v>34</v>
      </c>
      <c r="D57" s="93"/>
      <c r="E57" s="31"/>
      <c r="F57" s="215" t="s">
        <v>11</v>
      </c>
      <c r="G57" s="216"/>
    </row>
    <row r="58" spans="3:7" x14ac:dyDescent="0.3">
      <c r="C58" s="218" t="s">
        <v>35</v>
      </c>
      <c r="D58" s="219"/>
      <c r="E58" s="219"/>
      <c r="F58" s="162" t="str">
        <f>IF(Consulta!X25="","",Consulta!X25)</f>
        <v/>
      </c>
      <c r="G58" s="162" t="str">
        <f>IF(Consulta!X26="","",Consulta!X26)</f>
        <v/>
      </c>
    </row>
    <row r="59" spans="3:7" x14ac:dyDescent="0.3">
      <c r="C59" s="218" t="s">
        <v>36</v>
      </c>
      <c r="D59" s="219"/>
      <c r="E59" s="219"/>
      <c r="F59" s="162" t="str">
        <f>IF(Consulta!Y25="","",Consulta!Y25)</f>
        <v/>
      </c>
      <c r="G59" s="162" t="str">
        <f>IF(Consulta!Y26="","",Consulta!Y26)</f>
        <v/>
      </c>
    </row>
    <row r="60" spans="3:7" x14ac:dyDescent="0.3">
      <c r="C60" s="218" t="s">
        <v>37</v>
      </c>
      <c r="D60" s="219"/>
      <c r="E60" s="219"/>
      <c r="F60" s="162" t="str">
        <f>IF(Consulta!Z25="","",Consulta!Z25)</f>
        <v/>
      </c>
      <c r="G60" s="162" t="str">
        <f>IF(Consulta!Z26="","",Consulta!Z26)</f>
        <v/>
      </c>
    </row>
  </sheetData>
  <mergeCells count="22">
    <mergeCell ref="C48:E48"/>
    <mergeCell ref="F36:G36"/>
    <mergeCell ref="C37:E37"/>
    <mergeCell ref="C38:E38"/>
    <mergeCell ref="F39:G39"/>
    <mergeCell ref="C40:E40"/>
    <mergeCell ref="C41:E41"/>
    <mergeCell ref="C42:E42"/>
    <mergeCell ref="F43:G43"/>
    <mergeCell ref="C44:E44"/>
    <mergeCell ref="C45:E45"/>
    <mergeCell ref="C47:E47"/>
    <mergeCell ref="F57:G57"/>
    <mergeCell ref="C58:E58"/>
    <mergeCell ref="C59:E59"/>
    <mergeCell ref="C60:E60"/>
    <mergeCell ref="C49:E49"/>
    <mergeCell ref="C50:E50"/>
    <mergeCell ref="F51:G51"/>
    <mergeCell ref="C52:E52"/>
    <mergeCell ref="C53:E53"/>
    <mergeCell ref="F54:G5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5:BB57"/>
  <sheetViews>
    <sheetView zoomScale="40" zoomScaleNormal="40" workbookViewId="0">
      <selection activeCell="G6" sqref="G6:K30"/>
    </sheetView>
  </sheetViews>
  <sheetFormatPr defaultRowHeight="14.4" x14ac:dyDescent="0.3"/>
  <cols>
    <col min="2" max="2" width="11.5546875" bestFit="1" customWidth="1"/>
    <col min="3" max="3" width="15.6640625" bestFit="1" customWidth="1"/>
    <col min="4" max="4" width="7.44140625" bestFit="1" customWidth="1"/>
    <col min="5" max="5" width="7.44140625" customWidth="1"/>
    <col min="8" max="8" width="83.6640625" bestFit="1" customWidth="1"/>
    <col min="14" max="14" width="20.77734375" customWidth="1"/>
    <col min="18" max="18" width="10.77734375" style="59" bestFit="1" customWidth="1"/>
    <col min="19" max="19" width="10.77734375" style="59" customWidth="1"/>
    <col min="20" max="20" width="6.6640625" style="59" bestFit="1" customWidth="1"/>
    <col min="21" max="21" width="16.33203125" style="59" bestFit="1" customWidth="1"/>
    <col min="22" max="22" width="12.5546875" style="59" bestFit="1" customWidth="1"/>
    <col min="23" max="23" width="14.88671875" style="59" customWidth="1"/>
    <col min="24" max="24" width="17.88671875" style="146" bestFit="1" customWidth="1"/>
    <col min="25" max="25" width="16.77734375" style="146" customWidth="1"/>
    <col min="26" max="41" width="8.88671875" style="145"/>
    <col min="43" max="48" width="11" bestFit="1" customWidth="1"/>
    <col min="49" max="54" width="8.88671875" style="128"/>
  </cols>
  <sheetData>
    <row r="5" spans="2:54" x14ac:dyDescent="0.3">
      <c r="I5" s="67" t="s">
        <v>262</v>
      </c>
      <c r="J5" s="67" t="s">
        <v>263</v>
      </c>
      <c r="K5" s="67" t="s">
        <v>244</v>
      </c>
      <c r="L5" s="67"/>
      <c r="N5" s="136" t="s">
        <v>164</v>
      </c>
      <c r="R5" s="134" t="s">
        <v>109</v>
      </c>
      <c r="S5" s="134" t="s">
        <v>258</v>
      </c>
      <c r="T5" s="134" t="s">
        <v>110</v>
      </c>
      <c r="U5" s="134" t="s">
        <v>100</v>
      </c>
      <c r="V5" s="134" t="s">
        <v>111</v>
      </c>
      <c r="W5" s="134" t="s">
        <v>225</v>
      </c>
      <c r="X5" s="143" t="s">
        <v>226</v>
      </c>
      <c r="Y5" s="143" t="s">
        <v>227</v>
      </c>
      <c r="Z5" s="143" t="s">
        <v>228</v>
      </c>
      <c r="AA5" s="143" t="s">
        <v>229</v>
      </c>
      <c r="AB5" s="143" t="s">
        <v>230</v>
      </c>
      <c r="AC5" s="143" t="s">
        <v>231</v>
      </c>
      <c r="AD5" s="143" t="s">
        <v>232</v>
      </c>
      <c r="AE5" s="143" t="s">
        <v>233</v>
      </c>
      <c r="AF5" s="143" t="s">
        <v>234</v>
      </c>
      <c r="AG5" s="143" t="s">
        <v>235</v>
      </c>
      <c r="AH5" s="143" t="s">
        <v>236</v>
      </c>
      <c r="AI5" s="143" t="s">
        <v>237</v>
      </c>
      <c r="AJ5" s="143" t="s">
        <v>238</v>
      </c>
      <c r="AK5" s="143" t="s">
        <v>239</v>
      </c>
      <c r="AL5" s="143" t="s">
        <v>240</v>
      </c>
      <c r="AM5" s="143" t="s">
        <v>241</v>
      </c>
      <c r="AN5" s="143" t="s">
        <v>242</v>
      </c>
      <c r="AO5" s="143" t="s">
        <v>243</v>
      </c>
      <c r="AP5" s="147" t="s">
        <v>244</v>
      </c>
      <c r="AQ5" s="147" t="s">
        <v>245</v>
      </c>
      <c r="AR5" s="147" t="s">
        <v>246</v>
      </c>
      <c r="AS5" s="147" t="s">
        <v>247</v>
      </c>
      <c r="AT5" s="147" t="s">
        <v>248</v>
      </c>
      <c r="AU5" s="147" t="s">
        <v>249</v>
      </c>
      <c r="AV5" s="147" t="s">
        <v>250</v>
      </c>
      <c r="AW5" s="149" t="s">
        <v>251</v>
      </c>
      <c r="AX5" s="149" t="s">
        <v>252</v>
      </c>
      <c r="AY5" s="149" t="s">
        <v>253</v>
      </c>
      <c r="AZ5" s="149" t="s">
        <v>254</v>
      </c>
      <c r="BA5" s="149" t="s">
        <v>255</v>
      </c>
      <c r="BB5" s="149" t="s">
        <v>256</v>
      </c>
    </row>
    <row r="6" spans="2:54" x14ac:dyDescent="0.3">
      <c r="B6" s="86" t="s">
        <v>94</v>
      </c>
      <c r="C6" s="86" t="s">
        <v>100</v>
      </c>
      <c r="D6" s="86" t="s">
        <v>95</v>
      </c>
      <c r="E6" s="89"/>
      <c r="G6" s="70"/>
      <c r="H6" s="86" t="s">
        <v>10</v>
      </c>
      <c r="I6" s="87"/>
      <c r="J6" s="87"/>
      <c r="K6" s="87"/>
      <c r="L6" s="90"/>
      <c r="N6" s="135" t="s">
        <v>112</v>
      </c>
      <c r="R6" s="70">
        <f>WEEKNUM(S6)</f>
        <v>31</v>
      </c>
      <c r="S6" s="152">
        <v>45139</v>
      </c>
      <c r="T6" s="70" t="s">
        <v>220</v>
      </c>
      <c r="U6" s="70" t="s">
        <v>96</v>
      </c>
      <c r="V6" s="70">
        <v>1</v>
      </c>
      <c r="W6" s="70">
        <v>1</v>
      </c>
      <c r="X6" s="144">
        <v>0</v>
      </c>
      <c r="Y6" s="144">
        <v>3</v>
      </c>
      <c r="Z6" s="144">
        <v>4</v>
      </c>
      <c r="AA6" s="144">
        <v>1</v>
      </c>
      <c r="AB6" s="144">
        <v>4</v>
      </c>
      <c r="AC6" s="144">
        <v>1</v>
      </c>
      <c r="AD6" s="144">
        <v>2</v>
      </c>
      <c r="AE6" s="144">
        <v>1</v>
      </c>
      <c r="AF6" s="144">
        <v>1</v>
      </c>
      <c r="AG6" s="144">
        <v>1</v>
      </c>
      <c r="AH6" s="144">
        <v>0</v>
      </c>
      <c r="AI6" s="144">
        <v>0</v>
      </c>
      <c r="AJ6" s="144">
        <v>2</v>
      </c>
      <c r="AK6" s="144">
        <v>3</v>
      </c>
      <c r="AL6" s="144">
        <v>4</v>
      </c>
      <c r="AM6" s="144">
        <v>0</v>
      </c>
      <c r="AN6" s="144">
        <v>1</v>
      </c>
      <c r="AO6" s="144">
        <v>1</v>
      </c>
      <c r="AP6" s="151">
        <f>SUM(W6:AO6)</f>
        <v>30</v>
      </c>
      <c r="AQ6" s="87">
        <f>SUM(W6:X6)</f>
        <v>1</v>
      </c>
      <c r="AR6" s="148">
        <f>SUM(Y6:AA6)</f>
        <v>8</v>
      </c>
      <c r="AS6" s="148">
        <f>SUM(AB6:AH6)</f>
        <v>10</v>
      </c>
      <c r="AT6" s="87">
        <v>2</v>
      </c>
      <c r="AU6" s="148">
        <f>SUM(AI6:AJ6)</f>
        <v>2</v>
      </c>
      <c r="AV6" s="148">
        <f>SUM(AN6:AO6)</f>
        <v>2</v>
      </c>
      <c r="AW6" s="150">
        <f>AQ6/$AP$6</f>
        <v>3.3333333333333333E-2</v>
      </c>
      <c r="AX6" s="150">
        <f t="shared" ref="AX6:BB6" si="0">AR6/$AP$6</f>
        <v>0.26666666666666666</v>
      </c>
      <c r="AY6" s="150">
        <f t="shared" si="0"/>
        <v>0.33333333333333331</v>
      </c>
      <c r="AZ6" s="150">
        <f t="shared" si="0"/>
        <v>6.6666666666666666E-2</v>
      </c>
      <c r="BA6" s="150">
        <f t="shared" si="0"/>
        <v>6.6666666666666666E-2</v>
      </c>
      <c r="BB6" s="150">
        <f t="shared" si="0"/>
        <v>6.6666666666666666E-2</v>
      </c>
    </row>
    <row r="7" spans="2:54" x14ac:dyDescent="0.3">
      <c r="B7" s="87">
        <v>94922</v>
      </c>
      <c r="C7" s="87" t="s">
        <v>96</v>
      </c>
      <c r="D7" s="87" t="s">
        <v>45</v>
      </c>
      <c r="E7" s="90"/>
      <c r="G7" s="70">
        <v>1</v>
      </c>
      <c r="H7" s="87" t="s">
        <v>14</v>
      </c>
      <c r="I7" s="87"/>
      <c r="J7" s="87"/>
      <c r="K7" s="87"/>
      <c r="L7" s="90"/>
      <c r="N7" s="135" t="s">
        <v>113</v>
      </c>
      <c r="R7" s="70">
        <f>WEEKNUM(S7)</f>
        <v>31</v>
      </c>
      <c r="S7" s="152">
        <v>45142</v>
      </c>
      <c r="T7" s="70" t="s">
        <v>221</v>
      </c>
      <c r="U7" s="70" t="s">
        <v>96</v>
      </c>
      <c r="V7" s="70">
        <v>2</v>
      </c>
      <c r="W7" s="70">
        <v>2</v>
      </c>
      <c r="X7" s="144">
        <v>1</v>
      </c>
      <c r="Y7" s="144">
        <v>2</v>
      </c>
      <c r="Z7" s="144">
        <v>1</v>
      </c>
      <c r="AA7" s="144">
        <v>0</v>
      </c>
      <c r="AB7" s="144">
        <v>1</v>
      </c>
      <c r="AC7" s="144">
        <v>3</v>
      </c>
      <c r="AD7" s="144">
        <v>3</v>
      </c>
      <c r="AE7" s="144">
        <v>1</v>
      </c>
      <c r="AF7" s="144">
        <v>0</v>
      </c>
      <c r="AG7" s="144">
        <v>1</v>
      </c>
      <c r="AH7" s="144">
        <v>1</v>
      </c>
      <c r="AI7" s="144">
        <v>2</v>
      </c>
      <c r="AJ7" s="144">
        <v>3</v>
      </c>
      <c r="AK7" s="144">
        <v>3</v>
      </c>
      <c r="AL7" s="144">
        <v>4</v>
      </c>
      <c r="AM7" s="144">
        <v>3</v>
      </c>
      <c r="AN7" s="144">
        <v>0</v>
      </c>
      <c r="AO7" s="144">
        <v>3</v>
      </c>
      <c r="AP7" s="151">
        <f t="shared" ref="AP7:AP9" si="1">SUM(W7:AO7)</f>
        <v>34</v>
      </c>
      <c r="AQ7" s="87">
        <f t="shared" ref="AQ7:AQ9" si="2">SUM(W7:X7)</f>
        <v>3</v>
      </c>
      <c r="AR7" s="148">
        <f t="shared" ref="AR7:AR9" si="3">SUM(Y7:AA7)</f>
        <v>3</v>
      </c>
      <c r="AS7" s="148">
        <f t="shared" ref="AS7:AS9" si="4">SUM(AB7:AH7)</f>
        <v>10</v>
      </c>
      <c r="AT7" s="87">
        <v>3</v>
      </c>
      <c r="AU7" s="148">
        <f t="shared" ref="AU7:AU9" si="5">SUM(AI7:AJ7)</f>
        <v>5</v>
      </c>
      <c r="AV7" s="148">
        <f t="shared" ref="AV7:AV9" si="6">SUM(AN7:AO7)</f>
        <v>3</v>
      </c>
      <c r="AW7" s="150">
        <f t="shared" ref="AW7:AW9" si="7">AQ7/$AP$6</f>
        <v>0.1</v>
      </c>
      <c r="AX7" s="150">
        <f t="shared" ref="AX7:AX9" si="8">AR7/$AP$6</f>
        <v>0.1</v>
      </c>
      <c r="AY7" s="150">
        <f t="shared" ref="AY7:AY9" si="9">AS7/$AP$6</f>
        <v>0.33333333333333331</v>
      </c>
      <c r="AZ7" s="150">
        <f t="shared" ref="AZ7:AZ9" si="10">AT7/$AP$6</f>
        <v>0.1</v>
      </c>
      <c r="BA7" s="150">
        <f t="shared" ref="BA7:BA9" si="11">AU7/$AP$6</f>
        <v>0.16666666666666666</v>
      </c>
      <c r="BB7" s="150">
        <f t="shared" ref="BB7:BB9" si="12">AV7/$AP$6</f>
        <v>0.1</v>
      </c>
    </row>
    <row r="8" spans="2:54" x14ac:dyDescent="0.3">
      <c r="B8" s="87">
        <v>95653</v>
      </c>
      <c r="C8" s="87" t="s">
        <v>97</v>
      </c>
      <c r="D8" s="87" t="s">
        <v>50</v>
      </c>
      <c r="E8" s="90"/>
      <c r="G8" s="70">
        <v>2</v>
      </c>
      <c r="H8" s="87" t="s">
        <v>15</v>
      </c>
      <c r="I8" s="87"/>
      <c r="J8" s="87"/>
      <c r="K8" s="87"/>
      <c r="L8" s="90"/>
      <c r="N8" s="135" t="s">
        <v>114</v>
      </c>
      <c r="R8" s="70">
        <f t="shared" ref="R8:R9" si="13">WEEKNUM(S8)</f>
        <v>31</v>
      </c>
      <c r="S8" s="152">
        <v>45139</v>
      </c>
      <c r="T8" s="70" t="s">
        <v>222</v>
      </c>
      <c r="U8" s="70" t="s">
        <v>223</v>
      </c>
      <c r="V8" s="70">
        <v>3</v>
      </c>
      <c r="W8" s="70">
        <v>3</v>
      </c>
      <c r="X8" s="144">
        <v>4</v>
      </c>
      <c r="Y8" s="144">
        <v>3</v>
      </c>
      <c r="Z8" s="144">
        <v>1</v>
      </c>
      <c r="AA8" s="144">
        <v>2</v>
      </c>
      <c r="AB8" s="144">
        <v>0</v>
      </c>
      <c r="AC8" s="144">
        <v>2</v>
      </c>
      <c r="AD8" s="144">
        <v>4</v>
      </c>
      <c r="AE8" s="144">
        <v>0</v>
      </c>
      <c r="AF8" s="144">
        <v>3</v>
      </c>
      <c r="AG8" s="144">
        <v>2</v>
      </c>
      <c r="AH8" s="144">
        <v>3</v>
      </c>
      <c r="AI8" s="144">
        <v>2</v>
      </c>
      <c r="AJ8" s="144">
        <v>0</v>
      </c>
      <c r="AK8" s="144">
        <v>2</v>
      </c>
      <c r="AL8" s="144">
        <v>1</v>
      </c>
      <c r="AM8" s="144">
        <v>4</v>
      </c>
      <c r="AN8" s="144">
        <v>0</v>
      </c>
      <c r="AO8" s="144">
        <v>1</v>
      </c>
      <c r="AP8" s="151">
        <f t="shared" si="1"/>
        <v>37</v>
      </c>
      <c r="AQ8" s="87">
        <f t="shared" si="2"/>
        <v>7</v>
      </c>
      <c r="AR8" s="148">
        <f t="shared" si="3"/>
        <v>6</v>
      </c>
      <c r="AS8" s="148">
        <f t="shared" si="4"/>
        <v>14</v>
      </c>
      <c r="AT8" s="87">
        <v>4</v>
      </c>
      <c r="AU8" s="148">
        <f t="shared" si="5"/>
        <v>2</v>
      </c>
      <c r="AV8" s="148">
        <f t="shared" si="6"/>
        <v>1</v>
      </c>
      <c r="AW8" s="150">
        <f t="shared" si="7"/>
        <v>0.23333333333333334</v>
      </c>
      <c r="AX8" s="150">
        <f t="shared" si="8"/>
        <v>0.2</v>
      </c>
      <c r="AY8" s="150">
        <f t="shared" si="9"/>
        <v>0.46666666666666667</v>
      </c>
      <c r="AZ8" s="150">
        <f t="shared" si="10"/>
        <v>0.13333333333333333</v>
      </c>
      <c r="BA8" s="150">
        <f t="shared" si="11"/>
        <v>6.6666666666666666E-2</v>
      </c>
      <c r="BB8" s="150">
        <f t="shared" si="12"/>
        <v>3.3333333333333333E-2</v>
      </c>
    </row>
    <row r="9" spans="2:54" x14ac:dyDescent="0.3">
      <c r="B9" s="87">
        <v>89213</v>
      </c>
      <c r="C9" s="87" t="s">
        <v>98</v>
      </c>
      <c r="D9" s="87" t="s">
        <v>99</v>
      </c>
      <c r="E9" s="90"/>
      <c r="G9" s="70"/>
      <c r="H9" s="86" t="s">
        <v>16</v>
      </c>
      <c r="I9" s="87"/>
      <c r="J9" s="87"/>
      <c r="K9" s="87"/>
      <c r="L9" s="90"/>
      <c r="N9" s="135" t="s">
        <v>115</v>
      </c>
      <c r="R9" s="70">
        <f t="shared" si="13"/>
        <v>31</v>
      </c>
      <c r="S9" s="152">
        <v>45142</v>
      </c>
      <c r="T9" s="70" t="s">
        <v>224</v>
      </c>
      <c r="U9" s="70" t="s">
        <v>223</v>
      </c>
      <c r="V9" s="70">
        <v>4</v>
      </c>
      <c r="W9" s="70">
        <v>3</v>
      </c>
      <c r="X9" s="144">
        <v>1</v>
      </c>
      <c r="Y9" s="144">
        <v>3</v>
      </c>
      <c r="Z9" s="144">
        <v>2</v>
      </c>
      <c r="AA9" s="144">
        <v>0</v>
      </c>
      <c r="AB9" s="144">
        <v>3</v>
      </c>
      <c r="AC9" s="144">
        <v>2</v>
      </c>
      <c r="AD9" s="144">
        <v>4</v>
      </c>
      <c r="AE9" s="144">
        <v>3</v>
      </c>
      <c r="AF9" s="144">
        <v>1</v>
      </c>
      <c r="AG9" s="144">
        <v>2</v>
      </c>
      <c r="AH9" s="144">
        <v>4</v>
      </c>
      <c r="AI9" s="144">
        <v>1</v>
      </c>
      <c r="AJ9" s="144">
        <v>2</v>
      </c>
      <c r="AK9" s="144">
        <v>0</v>
      </c>
      <c r="AL9" s="144">
        <v>2</v>
      </c>
      <c r="AM9" s="144">
        <v>4</v>
      </c>
      <c r="AN9" s="144">
        <v>1</v>
      </c>
      <c r="AO9" s="144">
        <v>2</v>
      </c>
      <c r="AP9" s="151">
        <f t="shared" si="1"/>
        <v>40</v>
      </c>
      <c r="AQ9" s="87">
        <f t="shared" si="2"/>
        <v>4</v>
      </c>
      <c r="AR9" s="148">
        <f t="shared" si="3"/>
        <v>5</v>
      </c>
      <c r="AS9" s="148">
        <f t="shared" si="4"/>
        <v>19</v>
      </c>
      <c r="AT9" s="87">
        <v>5</v>
      </c>
      <c r="AU9" s="148">
        <f t="shared" si="5"/>
        <v>3</v>
      </c>
      <c r="AV9" s="148">
        <f t="shared" si="6"/>
        <v>3</v>
      </c>
      <c r="AW9" s="150">
        <f t="shared" si="7"/>
        <v>0.13333333333333333</v>
      </c>
      <c r="AX9" s="150">
        <f t="shared" si="8"/>
        <v>0.16666666666666666</v>
      </c>
      <c r="AY9" s="150">
        <f t="shared" si="9"/>
        <v>0.6333333333333333</v>
      </c>
      <c r="AZ9" s="150">
        <f t="shared" si="10"/>
        <v>0.16666666666666666</v>
      </c>
      <c r="BA9" s="150">
        <f t="shared" si="11"/>
        <v>0.1</v>
      </c>
      <c r="BB9" s="150">
        <f t="shared" si="12"/>
        <v>0.1</v>
      </c>
    </row>
    <row r="10" spans="2:54" x14ac:dyDescent="0.3">
      <c r="G10" s="70">
        <v>3</v>
      </c>
      <c r="H10" s="87" t="s">
        <v>17</v>
      </c>
      <c r="I10" s="87"/>
      <c r="J10" s="87"/>
      <c r="K10" s="87"/>
      <c r="L10" s="90"/>
      <c r="N10" s="135" t="s">
        <v>116</v>
      </c>
    </row>
    <row r="11" spans="2:54" x14ac:dyDescent="0.3">
      <c r="G11" s="70">
        <v>4</v>
      </c>
      <c r="H11" s="87" t="s">
        <v>18</v>
      </c>
      <c r="I11" s="87"/>
      <c r="J11" s="87"/>
      <c r="K11" s="87"/>
      <c r="L11" s="90"/>
      <c r="N11" s="135" t="s">
        <v>117</v>
      </c>
    </row>
    <row r="12" spans="2:54" x14ac:dyDescent="0.3">
      <c r="G12" s="70">
        <v>5</v>
      </c>
      <c r="H12" s="87" t="s">
        <v>19</v>
      </c>
      <c r="I12" s="87"/>
      <c r="J12" s="87"/>
      <c r="K12" s="87"/>
      <c r="L12" s="90"/>
      <c r="N12" s="135" t="s">
        <v>118</v>
      </c>
    </row>
    <row r="13" spans="2:54" x14ac:dyDescent="0.3">
      <c r="G13" s="70"/>
      <c r="H13" s="86" t="s">
        <v>20</v>
      </c>
      <c r="I13" s="87"/>
      <c r="J13" s="87"/>
      <c r="K13" s="87"/>
      <c r="L13" s="90"/>
      <c r="N13" s="135" t="s">
        <v>119</v>
      </c>
    </row>
    <row r="14" spans="2:54" x14ac:dyDescent="0.3">
      <c r="G14" s="70">
        <v>6</v>
      </c>
      <c r="H14" s="87" t="s">
        <v>21</v>
      </c>
      <c r="I14" s="87"/>
      <c r="J14" s="87"/>
      <c r="K14" s="87"/>
      <c r="L14" s="90"/>
      <c r="N14" s="135" t="s">
        <v>120</v>
      </c>
    </row>
    <row r="15" spans="2:54" x14ac:dyDescent="0.3">
      <c r="G15" s="70">
        <v>7</v>
      </c>
      <c r="H15" s="87" t="s">
        <v>22</v>
      </c>
      <c r="I15" s="87"/>
      <c r="J15" s="87"/>
      <c r="K15" s="87"/>
      <c r="L15" s="90"/>
      <c r="N15" s="135" t="s">
        <v>121</v>
      </c>
    </row>
    <row r="16" spans="2:54" x14ac:dyDescent="0.3">
      <c r="G16" s="70">
        <v>8</v>
      </c>
      <c r="H16" s="87" t="s">
        <v>23</v>
      </c>
      <c r="I16" s="87"/>
      <c r="J16" s="87"/>
      <c r="K16" s="87"/>
      <c r="L16" s="90"/>
      <c r="N16" s="135" t="s">
        <v>122</v>
      </c>
    </row>
    <row r="17" spans="7:14" x14ac:dyDescent="0.3">
      <c r="G17" s="70">
        <v>9</v>
      </c>
      <c r="H17" s="87" t="s">
        <v>24</v>
      </c>
      <c r="I17" s="87"/>
      <c r="J17" s="87"/>
      <c r="K17" s="87"/>
      <c r="L17" s="90"/>
      <c r="N17" s="135" t="s">
        <v>123</v>
      </c>
    </row>
    <row r="18" spans="7:14" x14ac:dyDescent="0.3">
      <c r="G18" s="70">
        <v>10</v>
      </c>
      <c r="H18" s="87" t="s">
        <v>25</v>
      </c>
      <c r="I18" s="87"/>
      <c r="J18" s="87"/>
      <c r="K18" s="87"/>
      <c r="L18" s="90"/>
      <c r="N18" s="135" t="s">
        <v>124</v>
      </c>
    </row>
    <row r="19" spans="7:14" x14ac:dyDescent="0.3">
      <c r="G19" s="70">
        <v>11</v>
      </c>
      <c r="H19" s="87" t="s">
        <v>26</v>
      </c>
      <c r="I19" s="87"/>
      <c r="J19" s="87"/>
      <c r="K19" s="87"/>
      <c r="L19" s="90"/>
      <c r="N19" s="135" t="s">
        <v>125</v>
      </c>
    </row>
    <row r="20" spans="7:14" x14ac:dyDescent="0.3">
      <c r="G20" s="70">
        <v>12</v>
      </c>
      <c r="H20" s="87" t="s">
        <v>27</v>
      </c>
      <c r="I20" s="87"/>
      <c r="J20" s="87"/>
      <c r="K20" s="87"/>
      <c r="L20" s="90"/>
      <c r="N20" s="135" t="s">
        <v>126</v>
      </c>
    </row>
    <row r="21" spans="7:14" x14ac:dyDescent="0.3">
      <c r="G21" s="70"/>
      <c r="H21" s="86" t="s">
        <v>28</v>
      </c>
      <c r="I21" s="87"/>
      <c r="J21" s="87"/>
      <c r="K21" s="87"/>
      <c r="L21" s="90"/>
      <c r="N21" s="135" t="s">
        <v>127</v>
      </c>
    </row>
    <row r="22" spans="7:14" x14ac:dyDescent="0.3">
      <c r="G22" s="70">
        <v>13</v>
      </c>
      <c r="H22" s="88" t="s">
        <v>29</v>
      </c>
      <c r="I22" s="87"/>
      <c r="J22" s="87"/>
      <c r="K22" s="87"/>
      <c r="L22" s="90"/>
      <c r="N22" s="135" t="s">
        <v>128</v>
      </c>
    </row>
    <row r="23" spans="7:14" x14ac:dyDescent="0.3">
      <c r="G23" s="70">
        <v>14</v>
      </c>
      <c r="H23" s="87" t="s">
        <v>30</v>
      </c>
      <c r="I23" s="87"/>
      <c r="J23" s="87"/>
      <c r="K23" s="87"/>
      <c r="L23" s="90"/>
      <c r="N23" s="135" t="s">
        <v>129</v>
      </c>
    </row>
    <row r="24" spans="7:14" x14ac:dyDescent="0.3">
      <c r="G24" s="70"/>
      <c r="H24" s="86" t="s">
        <v>31</v>
      </c>
      <c r="I24" s="87"/>
      <c r="J24" s="87"/>
      <c r="K24" s="87"/>
      <c r="L24" s="90"/>
      <c r="N24" s="135" t="s">
        <v>130</v>
      </c>
    </row>
    <row r="25" spans="7:14" x14ac:dyDescent="0.3">
      <c r="G25" s="70">
        <v>15</v>
      </c>
      <c r="H25" s="87" t="s">
        <v>32</v>
      </c>
      <c r="I25" s="87"/>
      <c r="J25" s="87"/>
      <c r="K25" s="87"/>
      <c r="L25" s="90"/>
      <c r="N25" s="135" t="s">
        <v>131</v>
      </c>
    </row>
    <row r="26" spans="7:14" x14ac:dyDescent="0.3">
      <c r="G26" s="70">
        <v>16</v>
      </c>
      <c r="H26" s="87" t="s">
        <v>33</v>
      </c>
      <c r="I26" s="87"/>
      <c r="J26" s="87"/>
      <c r="K26" s="87"/>
      <c r="L26" s="90"/>
      <c r="N26" s="135" t="s">
        <v>132</v>
      </c>
    </row>
    <row r="27" spans="7:14" x14ac:dyDescent="0.3">
      <c r="G27" s="70"/>
      <c r="H27" s="86" t="s">
        <v>34</v>
      </c>
      <c r="I27" s="87"/>
      <c r="J27" s="87"/>
      <c r="K27" s="87"/>
      <c r="L27" s="90"/>
      <c r="N27" s="135" t="s">
        <v>133</v>
      </c>
    </row>
    <row r="28" spans="7:14" x14ac:dyDescent="0.3">
      <c r="G28" s="70">
        <v>17</v>
      </c>
      <c r="H28" s="87" t="s">
        <v>35</v>
      </c>
      <c r="I28" s="87"/>
      <c r="J28" s="87"/>
      <c r="K28" s="87"/>
      <c r="L28" s="90"/>
      <c r="N28" s="135" t="s">
        <v>134</v>
      </c>
    </row>
    <row r="29" spans="7:14" x14ac:dyDescent="0.3">
      <c r="G29" s="70">
        <v>18</v>
      </c>
      <c r="H29" s="87" t="s">
        <v>36</v>
      </c>
      <c r="I29" s="87"/>
      <c r="J29" s="87"/>
      <c r="K29" s="87"/>
      <c r="L29" s="90"/>
      <c r="N29" s="135" t="s">
        <v>135</v>
      </c>
    </row>
    <row r="30" spans="7:14" x14ac:dyDescent="0.3">
      <c r="G30" s="70">
        <v>19</v>
      </c>
      <c r="H30" s="87" t="s">
        <v>37</v>
      </c>
      <c r="I30" s="87"/>
      <c r="J30" s="87"/>
      <c r="K30" s="87"/>
      <c r="L30" s="90"/>
      <c r="N30" s="135" t="s">
        <v>136</v>
      </c>
    </row>
    <row r="31" spans="7:14" x14ac:dyDescent="0.3">
      <c r="N31" s="135" t="s">
        <v>137</v>
      </c>
    </row>
    <row r="32" spans="7:14" x14ac:dyDescent="0.3">
      <c r="N32" s="135" t="s">
        <v>138</v>
      </c>
    </row>
    <row r="33" spans="14:14" x14ac:dyDescent="0.3">
      <c r="N33" s="135" t="s">
        <v>139</v>
      </c>
    </row>
    <row r="34" spans="14:14" x14ac:dyDescent="0.3">
      <c r="N34" s="135" t="s">
        <v>140</v>
      </c>
    </row>
    <row r="35" spans="14:14" x14ac:dyDescent="0.3">
      <c r="N35" s="135" t="s">
        <v>141</v>
      </c>
    </row>
    <row r="36" spans="14:14" x14ac:dyDescent="0.3">
      <c r="N36" s="135" t="s">
        <v>142</v>
      </c>
    </row>
    <row r="37" spans="14:14" x14ac:dyDescent="0.3">
      <c r="N37" s="135" t="s">
        <v>143</v>
      </c>
    </row>
    <row r="38" spans="14:14" x14ac:dyDescent="0.3">
      <c r="N38" s="135" t="s">
        <v>144</v>
      </c>
    </row>
    <row r="39" spans="14:14" x14ac:dyDescent="0.3">
      <c r="N39" s="135" t="s">
        <v>145</v>
      </c>
    </row>
    <row r="40" spans="14:14" x14ac:dyDescent="0.3">
      <c r="N40" s="135" t="s">
        <v>146</v>
      </c>
    </row>
    <row r="41" spans="14:14" x14ac:dyDescent="0.3">
      <c r="N41" s="135" t="s">
        <v>147</v>
      </c>
    </row>
    <row r="42" spans="14:14" x14ac:dyDescent="0.3">
      <c r="N42" s="135" t="s">
        <v>148</v>
      </c>
    </row>
    <row r="43" spans="14:14" x14ac:dyDescent="0.3">
      <c r="N43" s="135" t="s">
        <v>149</v>
      </c>
    </row>
    <row r="44" spans="14:14" x14ac:dyDescent="0.3">
      <c r="N44" s="135" t="s">
        <v>150</v>
      </c>
    </row>
    <row r="45" spans="14:14" x14ac:dyDescent="0.3">
      <c r="N45" s="135" t="s">
        <v>151</v>
      </c>
    </row>
    <row r="46" spans="14:14" x14ac:dyDescent="0.3">
      <c r="N46" s="135" t="s">
        <v>152</v>
      </c>
    </row>
    <row r="47" spans="14:14" x14ac:dyDescent="0.3">
      <c r="N47" s="135" t="s">
        <v>153</v>
      </c>
    </row>
    <row r="48" spans="14:14" x14ac:dyDescent="0.3">
      <c r="N48" s="135" t="s">
        <v>154</v>
      </c>
    </row>
    <row r="49" spans="14:14" x14ac:dyDescent="0.3">
      <c r="N49" s="135" t="s">
        <v>155</v>
      </c>
    </row>
    <row r="50" spans="14:14" x14ac:dyDescent="0.3">
      <c r="N50" s="135" t="s">
        <v>156</v>
      </c>
    </row>
    <row r="51" spans="14:14" x14ac:dyDescent="0.3">
      <c r="N51" s="135" t="s">
        <v>157</v>
      </c>
    </row>
    <row r="52" spans="14:14" x14ac:dyDescent="0.3">
      <c r="N52" s="135" t="s">
        <v>158</v>
      </c>
    </row>
    <row r="53" spans="14:14" x14ac:dyDescent="0.3">
      <c r="N53" s="135" t="s">
        <v>159</v>
      </c>
    </row>
    <row r="54" spans="14:14" x14ac:dyDescent="0.3">
      <c r="N54" s="135" t="s">
        <v>160</v>
      </c>
    </row>
    <row r="55" spans="14:14" x14ac:dyDescent="0.3">
      <c r="N55" s="135" t="s">
        <v>161</v>
      </c>
    </row>
    <row r="56" spans="14:14" x14ac:dyDescent="0.3">
      <c r="N56" s="135" t="s">
        <v>162</v>
      </c>
    </row>
    <row r="57" spans="14:14" x14ac:dyDescent="0.3">
      <c r="N57" s="91" t="s">
        <v>163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8:AM12"/>
  <sheetViews>
    <sheetView zoomScale="85" zoomScaleNormal="85" workbookViewId="0">
      <selection activeCell="AJ6" sqref="AJ6"/>
    </sheetView>
  </sheetViews>
  <sheetFormatPr defaultRowHeight="14.4" x14ac:dyDescent="0.3"/>
  <cols>
    <col min="6" max="6" width="15.6640625" bestFit="1" customWidth="1"/>
    <col min="7" max="7" width="12" bestFit="1" customWidth="1"/>
  </cols>
  <sheetData>
    <row r="8" spans="4:39" x14ac:dyDescent="0.3">
      <c r="D8" s="134" t="s">
        <v>109</v>
      </c>
      <c r="E8" s="134" t="s">
        <v>110</v>
      </c>
      <c r="F8" s="134" t="s">
        <v>100</v>
      </c>
      <c r="G8" s="134" t="s">
        <v>111</v>
      </c>
      <c r="H8" s="134" t="s">
        <v>225</v>
      </c>
      <c r="I8" s="143" t="s">
        <v>226</v>
      </c>
      <c r="J8" s="143" t="s">
        <v>227</v>
      </c>
      <c r="K8" s="143" t="s">
        <v>228</v>
      </c>
      <c r="L8" s="143" t="s">
        <v>229</v>
      </c>
      <c r="M8" s="143" t="s">
        <v>230</v>
      </c>
      <c r="N8" s="143" t="s">
        <v>231</v>
      </c>
      <c r="O8" s="143" t="s">
        <v>232</v>
      </c>
      <c r="P8" s="143" t="s">
        <v>233</v>
      </c>
      <c r="Q8" s="143" t="s">
        <v>234</v>
      </c>
      <c r="R8" s="143" t="s">
        <v>235</v>
      </c>
      <c r="S8" s="143" t="s">
        <v>236</v>
      </c>
      <c r="T8" s="143" t="s">
        <v>237</v>
      </c>
      <c r="U8" s="143" t="s">
        <v>238</v>
      </c>
      <c r="V8" s="143" t="s">
        <v>239</v>
      </c>
      <c r="W8" s="143" t="s">
        <v>240</v>
      </c>
      <c r="X8" s="143" t="s">
        <v>241</v>
      </c>
      <c r="Y8" s="143" t="s">
        <v>242</v>
      </c>
      <c r="Z8" s="143" t="s">
        <v>243</v>
      </c>
      <c r="AA8" s="147" t="s">
        <v>244</v>
      </c>
      <c r="AB8" s="147" t="s">
        <v>245</v>
      </c>
      <c r="AC8" s="147" t="s">
        <v>246</v>
      </c>
      <c r="AD8" s="147" t="s">
        <v>247</v>
      </c>
      <c r="AE8" s="147" t="s">
        <v>248</v>
      </c>
      <c r="AF8" s="147" t="s">
        <v>249</v>
      </c>
      <c r="AG8" s="147" t="s">
        <v>250</v>
      </c>
      <c r="AH8" s="149" t="s">
        <v>251</v>
      </c>
      <c r="AI8" s="149" t="s">
        <v>252</v>
      </c>
      <c r="AJ8" s="149" t="s">
        <v>253</v>
      </c>
      <c r="AK8" s="149" t="s">
        <v>254</v>
      </c>
      <c r="AL8" s="149" t="s">
        <v>255</v>
      </c>
      <c r="AM8" s="149" t="s">
        <v>256</v>
      </c>
    </row>
    <row r="9" spans="4:39" x14ac:dyDescent="0.3">
      <c r="D9" s="70">
        <v>31</v>
      </c>
      <c r="E9" s="70" t="s">
        <v>220</v>
      </c>
      <c r="F9" s="70" t="s">
        <v>96</v>
      </c>
      <c r="G9" s="70">
        <v>1</v>
      </c>
      <c r="H9" s="70">
        <v>1</v>
      </c>
      <c r="I9" s="144">
        <v>0</v>
      </c>
      <c r="J9" s="144">
        <v>3</v>
      </c>
      <c r="K9" s="144">
        <v>4</v>
      </c>
      <c r="L9" s="144">
        <v>1</v>
      </c>
      <c r="M9" s="144">
        <v>4</v>
      </c>
      <c r="N9" s="144">
        <v>1</v>
      </c>
      <c r="O9" s="144">
        <v>2</v>
      </c>
      <c r="P9" s="144">
        <v>1</v>
      </c>
      <c r="Q9" s="144">
        <v>1</v>
      </c>
      <c r="R9" s="144">
        <v>1</v>
      </c>
      <c r="S9" s="144">
        <v>0</v>
      </c>
      <c r="T9" s="144">
        <v>0</v>
      </c>
      <c r="U9" s="144">
        <v>2</v>
      </c>
      <c r="V9" s="144">
        <v>3</v>
      </c>
      <c r="W9" s="144">
        <v>4</v>
      </c>
      <c r="X9" s="144">
        <v>0</v>
      </c>
      <c r="Y9" s="144">
        <v>1</v>
      </c>
      <c r="Z9" s="144">
        <v>1</v>
      </c>
      <c r="AA9" s="151">
        <f>SUM(H9:Z9)</f>
        <v>30</v>
      </c>
      <c r="AB9" s="87">
        <f>SUM(H9:I9)</f>
        <v>1</v>
      </c>
      <c r="AC9" s="148">
        <f>SUM(J9:L9)</f>
        <v>8</v>
      </c>
      <c r="AD9" s="148">
        <f>SUM(M9:S9)</f>
        <v>10</v>
      </c>
      <c r="AE9" s="87">
        <v>2</v>
      </c>
      <c r="AF9" s="148">
        <f>SUM(T9:U9)</f>
        <v>2</v>
      </c>
      <c r="AG9" s="148">
        <f>SUM(Y9:Z9)</f>
        <v>2</v>
      </c>
      <c r="AH9" s="150" t="e">
        <f>AB9/$AL$6</f>
        <v>#DIV/0!</v>
      </c>
      <c r="AI9" s="150" t="e">
        <f t="shared" ref="AI9:AM12" si="0">AC9/$AL$6</f>
        <v>#DIV/0!</v>
      </c>
      <c r="AJ9" s="150" t="e">
        <f t="shared" si="0"/>
        <v>#DIV/0!</v>
      </c>
      <c r="AK9" s="150" t="e">
        <f t="shared" si="0"/>
        <v>#DIV/0!</v>
      </c>
      <c r="AL9" s="150" t="e">
        <f t="shared" si="0"/>
        <v>#DIV/0!</v>
      </c>
      <c r="AM9" s="150" t="e">
        <f t="shared" si="0"/>
        <v>#DIV/0!</v>
      </c>
    </row>
    <row r="10" spans="4:39" x14ac:dyDescent="0.3">
      <c r="D10" s="70">
        <v>31</v>
      </c>
      <c r="E10" s="70" t="s">
        <v>221</v>
      </c>
      <c r="F10" s="70" t="s">
        <v>96</v>
      </c>
      <c r="G10" s="70">
        <v>2</v>
      </c>
      <c r="H10" s="70">
        <v>2</v>
      </c>
      <c r="I10" s="144">
        <v>1</v>
      </c>
      <c r="J10" s="144">
        <v>2</v>
      </c>
      <c r="K10" s="144">
        <v>1</v>
      </c>
      <c r="L10" s="144">
        <v>0</v>
      </c>
      <c r="M10" s="144">
        <v>1</v>
      </c>
      <c r="N10" s="144">
        <v>3</v>
      </c>
      <c r="O10" s="144">
        <v>3</v>
      </c>
      <c r="P10" s="144">
        <v>1</v>
      </c>
      <c r="Q10" s="144">
        <v>0</v>
      </c>
      <c r="R10" s="144">
        <v>1</v>
      </c>
      <c r="S10" s="144">
        <v>1</v>
      </c>
      <c r="T10" s="144">
        <v>2</v>
      </c>
      <c r="U10" s="144">
        <v>3</v>
      </c>
      <c r="V10" s="144">
        <v>3</v>
      </c>
      <c r="W10" s="144">
        <v>4</v>
      </c>
      <c r="X10" s="144">
        <v>3</v>
      </c>
      <c r="Y10" s="144">
        <v>0</v>
      </c>
      <c r="Z10" s="144">
        <v>3</v>
      </c>
      <c r="AA10" s="151">
        <f t="shared" ref="AA10:AA12" si="1">SUM(H10:Z10)</f>
        <v>34</v>
      </c>
      <c r="AB10" s="87">
        <f t="shared" ref="AB10:AB12" si="2">SUM(H10:I10)</f>
        <v>3</v>
      </c>
      <c r="AC10" s="148">
        <f t="shared" ref="AC10:AC12" si="3">SUM(J10:L10)</f>
        <v>3</v>
      </c>
      <c r="AD10" s="148">
        <f t="shared" ref="AD10:AD12" si="4">SUM(M10:S10)</f>
        <v>10</v>
      </c>
      <c r="AE10" s="87">
        <v>3</v>
      </c>
      <c r="AF10" s="148">
        <f t="shared" ref="AF10:AF12" si="5">SUM(T10:U10)</f>
        <v>5</v>
      </c>
      <c r="AG10" s="148">
        <f t="shared" ref="AG10:AG12" si="6">SUM(Y10:Z10)</f>
        <v>3</v>
      </c>
      <c r="AH10" s="150" t="e">
        <f t="shared" ref="AH10:AH12" si="7">AB10/$AL$6</f>
        <v>#DIV/0!</v>
      </c>
      <c r="AI10" s="150" t="e">
        <f t="shared" si="0"/>
        <v>#DIV/0!</v>
      </c>
      <c r="AJ10" s="150" t="e">
        <f t="shared" si="0"/>
        <v>#DIV/0!</v>
      </c>
      <c r="AK10" s="150" t="e">
        <f t="shared" si="0"/>
        <v>#DIV/0!</v>
      </c>
      <c r="AL10" s="150" t="e">
        <f t="shared" si="0"/>
        <v>#DIV/0!</v>
      </c>
      <c r="AM10" s="150" t="e">
        <f t="shared" si="0"/>
        <v>#DIV/0!</v>
      </c>
    </row>
    <row r="11" spans="4:39" x14ac:dyDescent="0.3">
      <c r="D11" s="70">
        <v>31</v>
      </c>
      <c r="E11" s="70" t="s">
        <v>222</v>
      </c>
      <c r="F11" s="70" t="s">
        <v>223</v>
      </c>
      <c r="G11" s="70">
        <v>3</v>
      </c>
      <c r="H11" s="70">
        <v>3</v>
      </c>
      <c r="I11" s="144">
        <v>4</v>
      </c>
      <c r="J11" s="144">
        <v>3</v>
      </c>
      <c r="K11" s="144">
        <v>1</v>
      </c>
      <c r="L11" s="144">
        <v>2</v>
      </c>
      <c r="M11" s="144">
        <v>0</v>
      </c>
      <c r="N11" s="144">
        <v>2</v>
      </c>
      <c r="O11" s="144">
        <v>4</v>
      </c>
      <c r="P11" s="144">
        <v>0</v>
      </c>
      <c r="Q11" s="144">
        <v>3</v>
      </c>
      <c r="R11" s="144">
        <v>2</v>
      </c>
      <c r="S11" s="144">
        <v>3</v>
      </c>
      <c r="T11" s="144">
        <v>2</v>
      </c>
      <c r="U11" s="144">
        <v>0</v>
      </c>
      <c r="V11" s="144">
        <v>2</v>
      </c>
      <c r="W11" s="144">
        <v>1</v>
      </c>
      <c r="X11" s="144">
        <v>4</v>
      </c>
      <c r="Y11" s="144">
        <v>0</v>
      </c>
      <c r="Z11" s="144">
        <v>1</v>
      </c>
      <c r="AA11" s="151">
        <f t="shared" si="1"/>
        <v>37</v>
      </c>
      <c r="AB11" s="87">
        <f t="shared" si="2"/>
        <v>7</v>
      </c>
      <c r="AC11" s="148">
        <f t="shared" si="3"/>
        <v>6</v>
      </c>
      <c r="AD11" s="148">
        <f t="shared" si="4"/>
        <v>14</v>
      </c>
      <c r="AE11" s="87">
        <v>4</v>
      </c>
      <c r="AF11" s="148">
        <f t="shared" si="5"/>
        <v>2</v>
      </c>
      <c r="AG11" s="148">
        <f t="shared" si="6"/>
        <v>1</v>
      </c>
      <c r="AH11" s="150" t="e">
        <f t="shared" si="7"/>
        <v>#DIV/0!</v>
      </c>
      <c r="AI11" s="150" t="e">
        <f t="shared" si="0"/>
        <v>#DIV/0!</v>
      </c>
      <c r="AJ11" s="150" t="e">
        <f t="shared" si="0"/>
        <v>#DIV/0!</v>
      </c>
      <c r="AK11" s="150" t="e">
        <f t="shared" si="0"/>
        <v>#DIV/0!</v>
      </c>
      <c r="AL11" s="150" t="e">
        <f t="shared" si="0"/>
        <v>#DIV/0!</v>
      </c>
      <c r="AM11" s="150" t="e">
        <f t="shared" si="0"/>
        <v>#DIV/0!</v>
      </c>
    </row>
    <row r="12" spans="4:39" x14ac:dyDescent="0.3">
      <c r="D12" s="70">
        <v>31</v>
      </c>
      <c r="E12" s="70" t="s">
        <v>224</v>
      </c>
      <c r="F12" s="70" t="s">
        <v>223</v>
      </c>
      <c r="G12" s="70">
        <v>4</v>
      </c>
      <c r="H12" s="70">
        <v>3</v>
      </c>
      <c r="I12" s="144">
        <v>1</v>
      </c>
      <c r="J12" s="144">
        <v>3</v>
      </c>
      <c r="K12" s="144">
        <v>2</v>
      </c>
      <c r="L12" s="144">
        <v>0</v>
      </c>
      <c r="M12" s="144">
        <v>3</v>
      </c>
      <c r="N12" s="144">
        <v>2</v>
      </c>
      <c r="O12" s="144">
        <v>4</v>
      </c>
      <c r="P12" s="144">
        <v>3</v>
      </c>
      <c r="Q12" s="144">
        <v>1</v>
      </c>
      <c r="R12" s="144">
        <v>2</v>
      </c>
      <c r="S12" s="144">
        <v>4</v>
      </c>
      <c r="T12" s="144">
        <v>1</v>
      </c>
      <c r="U12" s="144">
        <v>2</v>
      </c>
      <c r="V12" s="144">
        <v>0</v>
      </c>
      <c r="W12" s="144">
        <v>2</v>
      </c>
      <c r="X12" s="144">
        <v>4</v>
      </c>
      <c r="Y12" s="144">
        <v>1</v>
      </c>
      <c r="Z12" s="144">
        <v>2</v>
      </c>
      <c r="AA12" s="151">
        <f t="shared" si="1"/>
        <v>40</v>
      </c>
      <c r="AB12" s="87">
        <f t="shared" si="2"/>
        <v>4</v>
      </c>
      <c r="AC12" s="148">
        <f t="shared" si="3"/>
        <v>5</v>
      </c>
      <c r="AD12" s="148">
        <f t="shared" si="4"/>
        <v>19</v>
      </c>
      <c r="AE12" s="87">
        <v>5</v>
      </c>
      <c r="AF12" s="148">
        <f t="shared" si="5"/>
        <v>3</v>
      </c>
      <c r="AG12" s="148">
        <f t="shared" si="6"/>
        <v>3</v>
      </c>
      <c r="AH12" s="150" t="e">
        <f t="shared" si="7"/>
        <v>#DIV/0!</v>
      </c>
      <c r="AI12" s="150" t="e">
        <f t="shared" si="0"/>
        <v>#DIV/0!</v>
      </c>
      <c r="AJ12" s="150" t="e">
        <f t="shared" si="0"/>
        <v>#DIV/0!</v>
      </c>
      <c r="AK12" s="150" t="e">
        <f t="shared" si="0"/>
        <v>#DIV/0!</v>
      </c>
      <c r="AL12" s="150" t="e">
        <f t="shared" si="0"/>
        <v>#DIV/0!</v>
      </c>
      <c r="AM12" s="150" t="e">
        <f t="shared" si="0"/>
        <v>#DIV/0!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U104"/>
  <sheetViews>
    <sheetView showGridLines="0" topLeftCell="A13" zoomScale="40" zoomScaleNormal="40" workbookViewId="0">
      <selection activeCell="U36" sqref="U36"/>
    </sheetView>
  </sheetViews>
  <sheetFormatPr defaultRowHeight="14.4" x14ac:dyDescent="0.3"/>
  <cols>
    <col min="1" max="1" width="5.88671875" customWidth="1"/>
    <col min="2" max="2" width="27.88671875" customWidth="1"/>
    <col min="3" max="3" width="33.33203125" customWidth="1"/>
    <col min="4" max="4" width="32.33203125" customWidth="1"/>
    <col min="5" max="5" width="18.5546875" customWidth="1"/>
    <col min="6" max="6" width="16.33203125" customWidth="1"/>
    <col min="7" max="7" width="11.6640625" style="29" customWidth="1"/>
    <col min="8" max="8" width="9.88671875" style="11" customWidth="1"/>
    <col min="9" max="9" width="8.88671875" style="34"/>
    <col min="10" max="10" width="23.33203125" customWidth="1"/>
  </cols>
  <sheetData>
    <row r="1" spans="2:10" ht="43.2" customHeight="1" x14ac:dyDescent="0.3">
      <c r="D1" s="202" t="s">
        <v>0</v>
      </c>
      <c r="E1" s="203"/>
      <c r="F1" s="203"/>
      <c r="G1" s="203"/>
      <c r="H1" s="204"/>
    </row>
    <row r="2" spans="2:10" x14ac:dyDescent="0.3">
      <c r="D2" s="205"/>
      <c r="E2" s="206"/>
      <c r="F2" s="206"/>
      <c r="G2" s="206"/>
      <c r="H2" s="207"/>
    </row>
    <row r="3" spans="2:10" x14ac:dyDescent="0.3">
      <c r="D3" s="205"/>
      <c r="E3" s="206"/>
      <c r="F3" s="206"/>
      <c r="G3" s="206"/>
      <c r="H3" s="207"/>
    </row>
    <row r="4" spans="2:10" ht="41.4" customHeight="1" x14ac:dyDescent="0.3">
      <c r="B4" s="211" t="s">
        <v>103</v>
      </c>
      <c r="C4" s="96" t="s">
        <v>102</v>
      </c>
      <c r="D4" s="205"/>
      <c r="E4" s="206"/>
      <c r="F4" s="206"/>
      <c r="G4" s="206"/>
      <c r="H4" s="207"/>
    </row>
    <row r="5" spans="2:10" ht="14.4" customHeight="1" x14ac:dyDescent="0.3">
      <c r="B5" s="212"/>
      <c r="C5" s="97"/>
      <c r="D5" s="205"/>
      <c r="E5" s="206"/>
      <c r="F5" s="206"/>
      <c r="G5" s="206"/>
      <c r="H5" s="207"/>
    </row>
    <row r="6" spans="2:10" ht="21" x14ac:dyDescent="0.4">
      <c r="B6" s="10" t="s">
        <v>104</v>
      </c>
      <c r="C6" s="98">
        <v>45119</v>
      </c>
      <c r="D6" s="208"/>
      <c r="E6" s="209"/>
      <c r="F6" s="209"/>
      <c r="G6" s="209"/>
      <c r="H6" s="210"/>
      <c r="J6" s="28"/>
    </row>
    <row r="7" spans="2:10" ht="15.6" x14ac:dyDescent="0.3">
      <c r="B7" s="10"/>
      <c r="C7" s="99"/>
      <c r="D7" s="22"/>
      <c r="E7" s="22"/>
      <c r="F7" s="12"/>
      <c r="G7" s="24"/>
      <c r="H7" s="24"/>
    </row>
    <row r="8" spans="2:10" ht="69" customHeight="1" x14ac:dyDescent="0.3">
      <c r="B8" s="94" t="s">
        <v>101</v>
      </c>
      <c r="C8" s="100">
        <v>94922</v>
      </c>
      <c r="D8" s="213" t="s">
        <v>4</v>
      </c>
      <c r="E8" s="213"/>
      <c r="F8" s="213"/>
      <c r="G8" s="24"/>
      <c r="H8" s="239" t="s">
        <v>107</v>
      </c>
      <c r="I8" s="239"/>
      <c r="J8" s="239"/>
    </row>
    <row r="9" spans="2:10" ht="17.399999999999999" x14ac:dyDescent="0.3">
      <c r="B9" s="40" t="s">
        <v>105</v>
      </c>
      <c r="C9" s="95" t="s">
        <v>106</v>
      </c>
      <c r="D9" s="214" t="s">
        <v>5</v>
      </c>
      <c r="E9" s="214"/>
      <c r="F9" s="214"/>
      <c r="G9" s="24"/>
      <c r="H9" s="24"/>
    </row>
    <row r="10" spans="2:10" ht="17.399999999999999" customHeight="1" x14ac:dyDescent="0.3">
      <c r="D10" s="214" t="s">
        <v>6</v>
      </c>
      <c r="E10" s="214"/>
      <c r="F10" s="214"/>
      <c r="G10" s="24"/>
      <c r="H10" s="24"/>
    </row>
    <row r="11" spans="2:10" ht="17.399999999999999" customHeight="1" x14ac:dyDescent="0.6">
      <c r="B11" s="197" t="s">
        <v>44</v>
      </c>
      <c r="C11" s="92"/>
      <c r="D11" s="214" t="s">
        <v>7</v>
      </c>
      <c r="E11" s="214"/>
      <c r="F11" s="214"/>
      <c r="G11" s="24"/>
      <c r="H11" s="24"/>
    </row>
    <row r="12" spans="2:10" ht="17.399999999999999" customHeight="1" x14ac:dyDescent="0.6">
      <c r="B12" s="197"/>
      <c r="C12" s="92"/>
      <c r="D12" s="214" t="s">
        <v>8</v>
      </c>
      <c r="E12" s="214"/>
      <c r="F12" s="214"/>
      <c r="G12" s="24"/>
      <c r="H12" s="24"/>
    </row>
    <row r="13" spans="2:10" ht="17.399999999999999" customHeight="1" x14ac:dyDescent="0.6">
      <c r="B13" s="197" t="s">
        <v>45</v>
      </c>
      <c r="C13" s="92"/>
      <c r="D13" s="214" t="s">
        <v>9</v>
      </c>
      <c r="E13" s="214"/>
      <c r="F13" s="214"/>
      <c r="G13" s="24"/>
      <c r="H13" s="24"/>
    </row>
    <row r="14" spans="2:10" ht="12.6" customHeight="1" x14ac:dyDescent="0.6">
      <c r="B14" s="238"/>
      <c r="C14" s="92"/>
      <c r="D14" s="10"/>
      <c r="E14" s="10"/>
      <c r="F14" s="10"/>
    </row>
    <row r="15" spans="2:10" s="58" customFormat="1" ht="12.6" customHeight="1" x14ac:dyDescent="0.6">
      <c r="B15" s="104"/>
      <c r="C15" s="105"/>
      <c r="D15" s="106"/>
      <c r="E15" s="57" t="s">
        <v>52</v>
      </c>
      <c r="F15" s="57" t="s">
        <v>53</v>
      </c>
      <c r="G15" s="107"/>
      <c r="H15" s="108"/>
      <c r="I15" s="109"/>
    </row>
    <row r="16" spans="2:10" s="4" customFormat="1" ht="15.6" customHeight="1" x14ac:dyDescent="0.35">
      <c r="B16" s="38" t="s">
        <v>10</v>
      </c>
      <c r="C16" s="93"/>
      <c r="D16" s="16"/>
      <c r="E16" s="215" t="s">
        <v>11</v>
      </c>
      <c r="F16" s="216"/>
      <c r="G16" s="35" t="s">
        <v>12</v>
      </c>
      <c r="H16" s="3" t="s">
        <v>13</v>
      </c>
      <c r="I16" s="32">
        <f>H17</f>
        <v>1</v>
      </c>
    </row>
    <row r="17" spans="2:9" s="5" customFormat="1" ht="12" customHeight="1" x14ac:dyDescent="0.3">
      <c r="B17" s="200" t="s">
        <v>14</v>
      </c>
      <c r="C17" s="221"/>
      <c r="D17" s="201"/>
      <c r="E17" s="55"/>
      <c r="F17" s="55"/>
      <c r="G17" s="23">
        <v>4</v>
      </c>
      <c r="H17" s="198">
        <f>SUM(G17:G18)/8</f>
        <v>1</v>
      </c>
      <c r="I17" s="33"/>
    </row>
    <row r="18" spans="2:9" s="5" customFormat="1" ht="12" customHeight="1" x14ac:dyDescent="0.3">
      <c r="B18" s="200" t="s">
        <v>46</v>
      </c>
      <c r="C18" s="221"/>
      <c r="D18" s="201"/>
      <c r="E18" s="55"/>
      <c r="F18" s="55"/>
      <c r="G18" s="23">
        <v>4</v>
      </c>
      <c r="H18" s="199"/>
      <c r="I18" s="33"/>
    </row>
    <row r="19" spans="2:9" s="4" customFormat="1" ht="15.6" customHeight="1" x14ac:dyDescent="0.35">
      <c r="B19" s="38" t="s">
        <v>16</v>
      </c>
      <c r="C19" s="93"/>
      <c r="D19" s="15"/>
      <c r="E19" s="215" t="s">
        <v>11</v>
      </c>
      <c r="F19" s="216"/>
      <c r="G19" s="35" t="s">
        <v>12</v>
      </c>
      <c r="H19" s="3" t="s">
        <v>13</v>
      </c>
      <c r="I19" s="32">
        <f>H20</f>
        <v>1</v>
      </c>
    </row>
    <row r="20" spans="2:9" s="5" customFormat="1" ht="13.2" customHeight="1" x14ac:dyDescent="0.3">
      <c r="B20" s="218" t="s">
        <v>17</v>
      </c>
      <c r="C20" s="219"/>
      <c r="D20" s="219"/>
      <c r="E20" s="55"/>
      <c r="F20" s="55"/>
      <c r="G20" s="36">
        <v>4</v>
      </c>
      <c r="H20" s="198">
        <f>SUM(G20:G22)/12</f>
        <v>1</v>
      </c>
      <c r="I20" s="33"/>
    </row>
    <row r="21" spans="2:9" s="5" customFormat="1" ht="13.2" customHeight="1" x14ac:dyDescent="0.3">
      <c r="B21" s="218" t="s">
        <v>18</v>
      </c>
      <c r="C21" s="219"/>
      <c r="D21" s="219"/>
      <c r="E21" s="55"/>
      <c r="F21" s="55"/>
      <c r="G21" s="36">
        <v>4</v>
      </c>
      <c r="H21" s="220"/>
      <c r="I21" s="33"/>
    </row>
    <row r="22" spans="2:9" s="5" customFormat="1" ht="13.2" customHeight="1" x14ac:dyDescent="0.3">
      <c r="B22" s="200" t="s">
        <v>19</v>
      </c>
      <c r="C22" s="221"/>
      <c r="D22" s="221"/>
      <c r="E22" s="55"/>
      <c r="F22" s="55"/>
      <c r="G22" s="36">
        <v>4</v>
      </c>
      <c r="H22" s="199"/>
      <c r="I22" s="33"/>
    </row>
    <row r="23" spans="2:9" s="4" customFormat="1" ht="15.6" customHeight="1" x14ac:dyDescent="0.35">
      <c r="B23" s="38" t="s">
        <v>20</v>
      </c>
      <c r="C23" s="93"/>
      <c r="D23" s="16"/>
      <c r="E23" s="215" t="s">
        <v>11</v>
      </c>
      <c r="F23" s="216"/>
      <c r="G23" s="35" t="s">
        <v>12</v>
      </c>
      <c r="H23" s="3" t="s">
        <v>13</v>
      </c>
      <c r="I23" s="32">
        <f>H24</f>
        <v>0.5</v>
      </c>
    </row>
    <row r="24" spans="2:9" s="5" customFormat="1" ht="13.2" customHeight="1" x14ac:dyDescent="0.3">
      <c r="B24" s="200" t="s">
        <v>21</v>
      </c>
      <c r="C24" s="221"/>
      <c r="D24" s="201"/>
      <c r="E24" s="55"/>
      <c r="F24" s="55"/>
      <c r="G24" s="36">
        <v>0</v>
      </c>
      <c r="H24" s="198">
        <f>SUM(G24:G30)/28</f>
        <v>0.5</v>
      </c>
      <c r="I24" s="33"/>
    </row>
    <row r="25" spans="2:9" s="5" customFormat="1" ht="13.2" customHeight="1" x14ac:dyDescent="0.3">
      <c r="B25" s="200" t="s">
        <v>22</v>
      </c>
      <c r="C25" s="221"/>
      <c r="D25" s="201"/>
      <c r="E25" s="55"/>
      <c r="F25" s="55"/>
      <c r="G25" s="36">
        <v>4</v>
      </c>
      <c r="H25" s="220"/>
      <c r="I25" s="33"/>
    </row>
    <row r="26" spans="2:9" s="5" customFormat="1" ht="13.2" customHeight="1" x14ac:dyDescent="0.3">
      <c r="B26" s="19" t="s">
        <v>23</v>
      </c>
      <c r="C26" s="50"/>
      <c r="D26" s="21"/>
      <c r="E26" s="55"/>
      <c r="F26" s="55"/>
      <c r="G26" s="36">
        <v>4</v>
      </c>
      <c r="H26" s="220"/>
      <c r="I26" s="33"/>
    </row>
    <row r="27" spans="2:9" s="5" customFormat="1" ht="13.2" customHeight="1" x14ac:dyDescent="0.3">
      <c r="B27" s="200" t="s">
        <v>24</v>
      </c>
      <c r="C27" s="221"/>
      <c r="D27" s="201"/>
      <c r="E27" s="55"/>
      <c r="F27" s="55"/>
      <c r="G27" s="36">
        <v>4</v>
      </c>
      <c r="H27" s="220"/>
      <c r="I27" s="33"/>
    </row>
    <row r="28" spans="2:9" s="5" customFormat="1" ht="13.2" customHeight="1" x14ac:dyDescent="0.3">
      <c r="B28" s="200" t="s">
        <v>25</v>
      </c>
      <c r="C28" s="221"/>
      <c r="D28" s="201"/>
      <c r="E28" s="55"/>
      <c r="F28" s="55"/>
      <c r="G28" s="36">
        <v>2</v>
      </c>
      <c r="H28" s="220"/>
      <c r="I28" s="33"/>
    </row>
    <row r="29" spans="2:9" s="5" customFormat="1" ht="13.2" customHeight="1" x14ac:dyDescent="0.3">
      <c r="B29" s="200" t="s">
        <v>26</v>
      </c>
      <c r="C29" s="221"/>
      <c r="D29" s="201"/>
      <c r="E29" s="55"/>
      <c r="F29" s="55"/>
      <c r="G29" s="36">
        <v>0</v>
      </c>
      <c r="H29" s="220"/>
      <c r="I29" s="33"/>
    </row>
    <row r="30" spans="2:9" s="5" customFormat="1" ht="13.8" x14ac:dyDescent="0.3">
      <c r="B30" s="222" t="s">
        <v>27</v>
      </c>
      <c r="C30" s="237"/>
      <c r="D30" s="223"/>
      <c r="E30" s="55"/>
      <c r="F30" s="55"/>
      <c r="G30" s="36">
        <v>0</v>
      </c>
      <c r="H30" s="199"/>
      <c r="I30" s="33"/>
    </row>
    <row r="31" spans="2:9" s="4" customFormat="1" ht="15.6" customHeight="1" x14ac:dyDescent="0.35">
      <c r="B31" s="38" t="s">
        <v>28</v>
      </c>
      <c r="C31" s="93"/>
      <c r="D31" s="16"/>
      <c r="E31" s="215" t="s">
        <v>11</v>
      </c>
      <c r="F31" s="216"/>
      <c r="G31" s="35" t="s">
        <v>12</v>
      </c>
      <c r="H31" s="3" t="s">
        <v>13</v>
      </c>
      <c r="I31" s="32">
        <f>H32</f>
        <v>0.5</v>
      </c>
    </row>
    <row r="32" spans="2:9" s="5" customFormat="1" ht="13.2" customHeight="1" x14ac:dyDescent="0.3">
      <c r="B32" s="200" t="s">
        <v>29</v>
      </c>
      <c r="C32" s="221"/>
      <c r="D32" s="201"/>
      <c r="E32" s="55"/>
      <c r="F32" s="55"/>
      <c r="G32" s="36">
        <v>0</v>
      </c>
      <c r="H32" s="198">
        <f>SUM(G32:G33)/8</f>
        <v>0.5</v>
      </c>
      <c r="I32" s="33"/>
    </row>
    <row r="33" spans="2:21" s="5" customFormat="1" ht="13.2" customHeight="1" x14ac:dyDescent="0.3">
      <c r="B33" s="200" t="s">
        <v>30</v>
      </c>
      <c r="C33" s="221"/>
      <c r="D33" s="201"/>
      <c r="E33" s="55"/>
      <c r="F33" s="55"/>
      <c r="G33" s="36">
        <v>4</v>
      </c>
      <c r="H33" s="220"/>
      <c r="I33" s="33"/>
    </row>
    <row r="34" spans="2:21" s="4" customFormat="1" ht="18" x14ac:dyDescent="0.35">
      <c r="B34" s="38" t="s">
        <v>31</v>
      </c>
      <c r="C34" s="93"/>
      <c r="D34" s="15"/>
      <c r="E34" s="215" t="s">
        <v>11</v>
      </c>
      <c r="F34" s="216"/>
      <c r="G34" s="35" t="s">
        <v>12</v>
      </c>
      <c r="H34" s="3" t="s">
        <v>13</v>
      </c>
      <c r="I34" s="32">
        <f>H35</f>
        <v>1</v>
      </c>
    </row>
    <row r="35" spans="2:21" s="5" customFormat="1" ht="13.2" customHeight="1" x14ac:dyDescent="0.3">
      <c r="B35" s="19" t="s">
        <v>32</v>
      </c>
      <c r="C35" s="50"/>
      <c r="D35" s="20"/>
      <c r="E35" s="71"/>
      <c r="F35" s="71"/>
      <c r="G35" s="13">
        <v>4</v>
      </c>
      <c r="H35" s="198">
        <f>SUM(G35:G36)/8</f>
        <v>1</v>
      </c>
      <c r="I35" s="33"/>
      <c r="U35" s="5" t="str">
        <f>Semanas_Cbox[Semanas Combobox]</f>
        <v>Semana 30</v>
      </c>
    </row>
    <row r="36" spans="2:21" s="5" customFormat="1" ht="13.2" customHeight="1" x14ac:dyDescent="0.3">
      <c r="B36" s="19" t="s">
        <v>33</v>
      </c>
      <c r="C36" s="50"/>
      <c r="D36" s="20"/>
      <c r="E36" s="71"/>
      <c r="F36" s="71"/>
      <c r="G36" s="13">
        <v>4</v>
      </c>
      <c r="H36" s="220"/>
      <c r="I36" s="33"/>
    </row>
    <row r="37" spans="2:21" s="26" customFormat="1" ht="19.95" customHeight="1" x14ac:dyDescent="0.35">
      <c r="B37" s="38" t="s">
        <v>34</v>
      </c>
      <c r="C37" s="93"/>
      <c r="D37" s="31"/>
      <c r="E37" s="215" t="s">
        <v>11</v>
      </c>
      <c r="F37" s="216"/>
      <c r="G37" s="35" t="s">
        <v>12</v>
      </c>
      <c r="H37" s="3" t="s">
        <v>13</v>
      </c>
      <c r="I37" s="32">
        <f>H38</f>
        <v>1</v>
      </c>
    </row>
    <row r="38" spans="2:21" s="5" customFormat="1" ht="13.95" customHeight="1" x14ac:dyDescent="0.3">
      <c r="B38" s="218" t="s">
        <v>35</v>
      </c>
      <c r="C38" s="219"/>
      <c r="D38" s="219"/>
      <c r="E38" s="55"/>
      <c r="F38" s="55"/>
      <c r="G38" s="13">
        <v>4</v>
      </c>
      <c r="H38" s="198">
        <f>SUM(G38:G40)/12</f>
        <v>1</v>
      </c>
      <c r="I38" s="33"/>
    </row>
    <row r="39" spans="2:21" s="5" customFormat="1" ht="13.95" customHeight="1" x14ac:dyDescent="0.3">
      <c r="B39" s="218" t="s">
        <v>36</v>
      </c>
      <c r="C39" s="219"/>
      <c r="D39" s="219"/>
      <c r="E39" s="55"/>
      <c r="F39" s="55"/>
      <c r="G39" s="13">
        <v>4</v>
      </c>
      <c r="H39" s="220"/>
      <c r="I39" s="33"/>
    </row>
    <row r="40" spans="2:21" s="5" customFormat="1" ht="13.8" x14ac:dyDescent="0.3">
      <c r="B40" s="218" t="s">
        <v>37</v>
      </c>
      <c r="C40" s="219"/>
      <c r="D40" s="219"/>
      <c r="E40" s="56"/>
      <c r="F40" s="56"/>
      <c r="G40" s="13">
        <v>4</v>
      </c>
      <c r="H40" s="220"/>
      <c r="I40" s="33"/>
    </row>
    <row r="41" spans="2:21" ht="21" customHeight="1" x14ac:dyDescent="0.3">
      <c r="B41" s="1"/>
      <c r="C41" s="1"/>
      <c r="D41" s="244" t="s">
        <v>38</v>
      </c>
      <c r="E41" s="244"/>
      <c r="F41" s="245"/>
      <c r="G41" s="246">
        <f>SUM(G17:G18,G20:G22,G24:G30,G32:G33,G35:G36,G38:G40)</f>
        <v>58</v>
      </c>
      <c r="H41" s="246"/>
    </row>
    <row r="42" spans="2:21" ht="39.6" customHeight="1" x14ac:dyDescent="0.3">
      <c r="B42" s="2"/>
      <c r="C42" s="2"/>
      <c r="D42" s="247" t="s">
        <v>40</v>
      </c>
      <c r="E42" s="248"/>
      <c r="F42" s="249"/>
      <c r="G42" s="250">
        <f>G41/76</f>
        <v>0.76315789473684215</v>
      </c>
      <c r="H42" s="251"/>
    </row>
    <row r="43" spans="2:21" ht="14.4" customHeight="1" x14ac:dyDescent="0.3"/>
    <row r="44" spans="2:21" ht="14.4" customHeight="1" x14ac:dyDescent="0.4">
      <c r="B44" s="39"/>
      <c r="C44" s="39"/>
    </row>
    <row r="45" spans="2:21" ht="14.4" customHeight="1" x14ac:dyDescent="0.6">
      <c r="B45" s="197" t="s">
        <v>44</v>
      </c>
      <c r="C45" s="92"/>
    </row>
    <row r="46" spans="2:21" ht="14.4" customHeight="1" x14ac:dyDescent="0.6">
      <c r="B46" s="197"/>
      <c r="C46" s="92"/>
    </row>
    <row r="47" spans="2:21" ht="14.4" customHeight="1" x14ac:dyDescent="0.6">
      <c r="B47" s="197" t="s">
        <v>47</v>
      </c>
      <c r="C47" s="92"/>
    </row>
    <row r="48" spans="2:21" ht="14.4" customHeight="1" x14ac:dyDescent="0.6">
      <c r="B48" s="197"/>
      <c r="C48" s="92"/>
    </row>
    <row r="49" spans="2:9" ht="18" x14ac:dyDescent="0.35">
      <c r="B49" s="38" t="s">
        <v>10</v>
      </c>
      <c r="C49" s="93"/>
      <c r="D49" s="16"/>
      <c r="E49" s="215" t="s">
        <v>11</v>
      </c>
      <c r="F49" s="216"/>
      <c r="G49" s="35" t="s">
        <v>12</v>
      </c>
      <c r="H49" s="3" t="s">
        <v>13</v>
      </c>
      <c r="I49" s="103">
        <f>H50</f>
        <v>1</v>
      </c>
    </row>
    <row r="50" spans="2:9" x14ac:dyDescent="0.3">
      <c r="B50" s="200" t="s">
        <v>14</v>
      </c>
      <c r="C50" s="221"/>
      <c r="D50" s="201"/>
      <c r="E50" s="240"/>
      <c r="F50" s="241"/>
      <c r="G50" s="23">
        <v>4</v>
      </c>
      <c r="H50" s="198">
        <f>SUM(G50:G51)/8</f>
        <v>1</v>
      </c>
    </row>
    <row r="51" spans="2:9" x14ac:dyDescent="0.3">
      <c r="B51" s="200" t="s">
        <v>15</v>
      </c>
      <c r="C51" s="221"/>
      <c r="D51" s="201"/>
      <c r="E51" s="240"/>
      <c r="F51" s="241"/>
      <c r="G51" s="23">
        <v>4</v>
      </c>
      <c r="H51" s="199"/>
    </row>
    <row r="52" spans="2:9" ht="18" x14ac:dyDescent="0.35">
      <c r="B52" s="38" t="s">
        <v>16</v>
      </c>
      <c r="C52" s="93"/>
      <c r="D52" s="15"/>
      <c r="E52" s="215" t="s">
        <v>11</v>
      </c>
      <c r="F52" s="216"/>
      <c r="G52" s="35" t="s">
        <v>12</v>
      </c>
      <c r="H52" s="3" t="s">
        <v>13</v>
      </c>
      <c r="I52" s="103">
        <f>H53</f>
        <v>1</v>
      </c>
    </row>
    <row r="53" spans="2:9" x14ac:dyDescent="0.3">
      <c r="B53" s="218" t="s">
        <v>17</v>
      </c>
      <c r="C53" s="219"/>
      <c r="D53" s="219"/>
      <c r="E53" s="240"/>
      <c r="F53" s="241"/>
      <c r="G53" s="36">
        <v>4</v>
      </c>
      <c r="H53" s="198">
        <f>SUM(G53:G55)/12</f>
        <v>1</v>
      </c>
    </row>
    <row r="54" spans="2:9" x14ac:dyDescent="0.3">
      <c r="B54" s="218" t="s">
        <v>18</v>
      </c>
      <c r="C54" s="219"/>
      <c r="D54" s="219"/>
      <c r="E54" s="240"/>
      <c r="F54" s="241"/>
      <c r="G54" s="36">
        <v>4</v>
      </c>
      <c r="H54" s="220"/>
    </row>
    <row r="55" spans="2:9" x14ac:dyDescent="0.3">
      <c r="B55" s="200" t="s">
        <v>19</v>
      </c>
      <c r="C55" s="221"/>
      <c r="D55" s="221"/>
      <c r="E55" s="240"/>
      <c r="F55" s="241"/>
      <c r="G55" s="36">
        <v>4</v>
      </c>
      <c r="H55" s="199"/>
    </row>
    <row r="56" spans="2:9" ht="18" x14ac:dyDescent="0.35">
      <c r="B56" s="38" t="s">
        <v>20</v>
      </c>
      <c r="C56" s="93"/>
      <c r="D56" s="16"/>
      <c r="E56" s="215" t="s">
        <v>11</v>
      </c>
      <c r="F56" s="216"/>
      <c r="G56" s="42" t="s">
        <v>12</v>
      </c>
      <c r="H56" s="3" t="s">
        <v>13</v>
      </c>
      <c r="I56" s="103">
        <f>H57</f>
        <v>0.5</v>
      </c>
    </row>
    <row r="57" spans="2:9" x14ac:dyDescent="0.3">
      <c r="B57" s="200" t="s">
        <v>21</v>
      </c>
      <c r="C57" s="221"/>
      <c r="D57" s="201"/>
      <c r="E57" s="240"/>
      <c r="F57" s="243"/>
      <c r="G57" s="41">
        <v>0</v>
      </c>
      <c r="H57" s="242">
        <f>SUM(G57:G63)/28</f>
        <v>0.5</v>
      </c>
    </row>
    <row r="58" spans="2:9" x14ac:dyDescent="0.3">
      <c r="B58" s="200" t="s">
        <v>22</v>
      </c>
      <c r="C58" s="221"/>
      <c r="D58" s="201"/>
      <c r="E58" s="240"/>
      <c r="F58" s="241"/>
      <c r="G58" s="43">
        <v>4</v>
      </c>
      <c r="H58" s="220"/>
    </row>
    <row r="59" spans="2:9" x14ac:dyDescent="0.3">
      <c r="B59" s="19" t="s">
        <v>23</v>
      </c>
      <c r="C59" s="50"/>
      <c r="D59" s="21"/>
      <c r="E59" s="240"/>
      <c r="F59" s="241"/>
      <c r="G59" s="36">
        <v>4</v>
      </c>
      <c r="H59" s="220"/>
    </row>
    <row r="60" spans="2:9" x14ac:dyDescent="0.3">
      <c r="B60" s="200" t="s">
        <v>24</v>
      </c>
      <c r="C60" s="221"/>
      <c r="D60" s="201"/>
      <c r="E60" s="240"/>
      <c r="F60" s="241"/>
      <c r="G60" s="36">
        <v>4</v>
      </c>
      <c r="H60" s="220"/>
    </row>
    <row r="61" spans="2:9" x14ac:dyDescent="0.3">
      <c r="B61" s="200" t="s">
        <v>25</v>
      </c>
      <c r="C61" s="221"/>
      <c r="D61" s="201"/>
      <c r="E61" s="240"/>
      <c r="F61" s="241"/>
      <c r="G61" s="36">
        <v>2</v>
      </c>
      <c r="H61" s="220"/>
    </row>
    <row r="62" spans="2:9" x14ac:dyDescent="0.3">
      <c r="B62" s="200" t="s">
        <v>26</v>
      </c>
      <c r="C62" s="221"/>
      <c r="D62" s="201"/>
      <c r="E62" s="240"/>
      <c r="F62" s="241"/>
      <c r="G62" s="36">
        <v>0</v>
      </c>
      <c r="H62" s="220"/>
    </row>
    <row r="63" spans="2:9" x14ac:dyDescent="0.3">
      <c r="B63" s="222" t="s">
        <v>27</v>
      </c>
      <c r="C63" s="237"/>
      <c r="D63" s="223"/>
      <c r="E63" s="240"/>
      <c r="F63" s="241"/>
      <c r="G63" s="36">
        <v>0</v>
      </c>
      <c r="H63" s="199"/>
    </row>
    <row r="64" spans="2:9" ht="18" x14ac:dyDescent="0.35">
      <c r="B64" s="38" t="s">
        <v>28</v>
      </c>
      <c r="C64" s="93"/>
      <c r="D64" s="16"/>
      <c r="E64" s="215" t="s">
        <v>11</v>
      </c>
      <c r="F64" s="216"/>
      <c r="G64" s="35" t="s">
        <v>12</v>
      </c>
      <c r="H64" s="3" t="s">
        <v>13</v>
      </c>
      <c r="I64" s="103">
        <f>H65</f>
        <v>0.375</v>
      </c>
    </row>
    <row r="65" spans="2:9" x14ac:dyDescent="0.3">
      <c r="B65" s="200" t="s">
        <v>29</v>
      </c>
      <c r="C65" s="221"/>
      <c r="D65" s="201"/>
      <c r="E65" s="240"/>
      <c r="F65" s="241"/>
      <c r="G65" s="36">
        <v>0</v>
      </c>
      <c r="H65" s="198">
        <f>SUM(G65:G66)/8</f>
        <v>0.375</v>
      </c>
    </row>
    <row r="66" spans="2:9" x14ac:dyDescent="0.3">
      <c r="B66" s="200" t="s">
        <v>30</v>
      </c>
      <c r="C66" s="221"/>
      <c r="D66" s="201"/>
      <c r="E66" s="240"/>
      <c r="F66" s="241"/>
      <c r="G66" s="36">
        <v>3</v>
      </c>
      <c r="H66" s="220"/>
    </row>
    <row r="67" spans="2:9" ht="18" x14ac:dyDescent="0.35">
      <c r="B67" s="38" t="s">
        <v>31</v>
      </c>
      <c r="C67" s="93"/>
      <c r="D67" s="15"/>
      <c r="E67" s="215" t="s">
        <v>11</v>
      </c>
      <c r="F67" s="216"/>
      <c r="G67" s="35" t="s">
        <v>12</v>
      </c>
      <c r="H67" s="3" t="s">
        <v>13</v>
      </c>
      <c r="I67" s="103">
        <f>H68</f>
        <v>1</v>
      </c>
    </row>
    <row r="68" spans="2:9" x14ac:dyDescent="0.3">
      <c r="B68" s="19" t="s">
        <v>32</v>
      </c>
      <c r="C68" s="50"/>
      <c r="D68" s="20"/>
      <c r="E68" s="20"/>
      <c r="F68" s="21"/>
      <c r="G68" s="13">
        <v>4</v>
      </c>
      <c r="H68" s="198">
        <f>SUM(G68:G69)/8</f>
        <v>1</v>
      </c>
    </row>
    <row r="69" spans="2:9" x14ac:dyDescent="0.3">
      <c r="B69" s="19" t="s">
        <v>33</v>
      </c>
      <c r="C69" s="50"/>
      <c r="D69" s="20"/>
      <c r="E69" s="20"/>
      <c r="F69" s="21"/>
      <c r="G69" s="13">
        <v>4</v>
      </c>
      <c r="H69" s="220"/>
    </row>
    <row r="70" spans="2:9" ht="18" x14ac:dyDescent="0.35">
      <c r="B70" s="38" t="s">
        <v>34</v>
      </c>
      <c r="C70" s="93"/>
      <c r="D70" s="31"/>
      <c r="E70" s="215" t="s">
        <v>11</v>
      </c>
      <c r="F70" s="216"/>
      <c r="G70" s="35" t="s">
        <v>12</v>
      </c>
      <c r="H70" s="3" t="s">
        <v>13</v>
      </c>
      <c r="I70" s="103">
        <f>H71</f>
        <v>1</v>
      </c>
    </row>
    <row r="71" spans="2:9" x14ac:dyDescent="0.3">
      <c r="B71" s="218" t="s">
        <v>35</v>
      </c>
      <c r="C71" s="219"/>
      <c r="D71" s="219"/>
      <c r="E71" s="27"/>
      <c r="F71" s="7"/>
      <c r="G71" s="13">
        <v>4</v>
      </c>
      <c r="H71" s="198">
        <f>SUM(G71:G73)/12</f>
        <v>1</v>
      </c>
    </row>
    <row r="72" spans="2:9" x14ac:dyDescent="0.3">
      <c r="B72" s="218" t="s">
        <v>36</v>
      </c>
      <c r="C72" s="219"/>
      <c r="D72" s="219"/>
      <c r="E72" s="27"/>
      <c r="F72" s="7"/>
      <c r="G72" s="13">
        <v>4</v>
      </c>
      <c r="H72" s="220"/>
    </row>
    <row r="73" spans="2:9" x14ac:dyDescent="0.3">
      <c r="B73" s="218" t="s">
        <v>37</v>
      </c>
      <c r="C73" s="219"/>
      <c r="D73" s="219"/>
      <c r="E73" s="17"/>
      <c r="F73" s="18"/>
      <c r="G73" s="13">
        <v>4</v>
      </c>
      <c r="H73" s="220"/>
    </row>
    <row r="74" spans="2:9" ht="31.2" x14ac:dyDescent="0.3">
      <c r="B74" s="1"/>
      <c r="C74" s="1"/>
      <c r="D74" s="244" t="s">
        <v>38</v>
      </c>
      <c r="E74" s="244"/>
      <c r="F74" s="245"/>
      <c r="G74" s="246">
        <f>SUM(G50:G51,G53:G55,G57:G63,G65:G66,G68:G69,G71:G73)</f>
        <v>57</v>
      </c>
      <c r="H74" s="246"/>
    </row>
    <row r="75" spans="2:9" ht="33.6" x14ac:dyDescent="0.3">
      <c r="B75" s="2"/>
      <c r="C75" s="2"/>
      <c r="D75" s="247" t="s">
        <v>40</v>
      </c>
      <c r="E75" s="248"/>
      <c r="F75" s="249"/>
      <c r="G75" s="250">
        <f>G74/76</f>
        <v>0.75</v>
      </c>
      <c r="H75" s="251"/>
    </row>
    <row r="81" spans="2:8" ht="44.4" customHeight="1" x14ac:dyDescent="0.3">
      <c r="B81" s="252" t="s">
        <v>42</v>
      </c>
      <c r="C81" s="252"/>
      <c r="D81" s="252"/>
      <c r="E81" s="252"/>
      <c r="F81" s="252"/>
      <c r="G81" s="252"/>
      <c r="H81" s="252"/>
    </row>
    <row r="82" spans="2:8" x14ac:dyDescent="0.3">
      <c r="B82" s="9">
        <v>1</v>
      </c>
      <c r="C82" s="9"/>
      <c r="D82" s="8"/>
      <c r="E82" s="8"/>
      <c r="F82" s="8"/>
      <c r="G82" s="37"/>
      <c r="H82" s="25"/>
    </row>
    <row r="83" spans="2:8" x14ac:dyDescent="0.3">
      <c r="B83" s="9">
        <v>2</v>
      </c>
      <c r="C83" s="9"/>
      <c r="D83" s="8"/>
      <c r="E83" s="8"/>
      <c r="F83" s="8"/>
      <c r="G83" s="37"/>
      <c r="H83" s="25"/>
    </row>
    <row r="84" spans="2:8" x14ac:dyDescent="0.3">
      <c r="B84" s="9">
        <v>3</v>
      </c>
      <c r="C84" s="9"/>
      <c r="D84" s="8"/>
      <c r="E84" s="8"/>
      <c r="F84" s="8"/>
      <c r="G84" s="37"/>
      <c r="H84" s="25"/>
    </row>
    <row r="85" spans="2:8" x14ac:dyDescent="0.3">
      <c r="B85" s="9">
        <v>4</v>
      </c>
      <c r="C85" s="9"/>
      <c r="D85" s="8"/>
      <c r="E85" s="8"/>
      <c r="F85" s="8"/>
      <c r="G85" s="37"/>
      <c r="H85" s="25"/>
    </row>
    <row r="86" spans="2:8" x14ac:dyDescent="0.3">
      <c r="B86" s="9">
        <v>5</v>
      </c>
      <c r="C86" s="9"/>
      <c r="D86" s="8"/>
      <c r="E86" s="8"/>
      <c r="F86" s="8"/>
      <c r="G86" s="37"/>
      <c r="H86" s="25"/>
    </row>
    <row r="87" spans="2:8" x14ac:dyDescent="0.3">
      <c r="B87" s="9">
        <v>6</v>
      </c>
      <c r="C87" s="9"/>
      <c r="D87" s="8"/>
      <c r="E87" s="8"/>
      <c r="F87" s="8"/>
      <c r="G87" s="37"/>
      <c r="H87" s="25"/>
    </row>
    <row r="88" spans="2:8" x14ac:dyDescent="0.3">
      <c r="B88" s="9">
        <v>7</v>
      </c>
      <c r="C88" s="9"/>
      <c r="D88" s="8"/>
      <c r="E88" s="8"/>
      <c r="F88" s="8"/>
      <c r="G88" s="37"/>
      <c r="H88" s="25"/>
    </row>
    <row r="89" spans="2:8" x14ac:dyDescent="0.3">
      <c r="B89" s="9">
        <v>8</v>
      </c>
      <c r="C89" s="9"/>
      <c r="D89" s="8"/>
      <c r="E89" s="8"/>
      <c r="F89" s="8"/>
      <c r="G89" s="37"/>
      <c r="H89" s="25"/>
    </row>
    <row r="90" spans="2:8" x14ac:dyDescent="0.3">
      <c r="B90" s="9">
        <v>9</v>
      </c>
      <c r="C90" s="9"/>
      <c r="D90" s="8"/>
      <c r="E90" s="8"/>
      <c r="F90" s="8"/>
      <c r="G90" s="37"/>
      <c r="H90" s="25"/>
    </row>
    <row r="91" spans="2:8" x14ac:dyDescent="0.3">
      <c r="B91" s="9">
        <v>10</v>
      </c>
      <c r="C91" s="9"/>
      <c r="D91" s="8"/>
      <c r="E91" s="8"/>
      <c r="F91" s="8"/>
      <c r="G91" s="37"/>
      <c r="H91" s="25"/>
    </row>
    <row r="92" spans="2:8" x14ac:dyDescent="0.3">
      <c r="B92" s="9">
        <v>11</v>
      </c>
      <c r="C92" s="9"/>
      <c r="D92" s="8"/>
      <c r="E92" s="8"/>
      <c r="F92" s="8"/>
      <c r="G92" s="37"/>
      <c r="H92" s="25"/>
    </row>
    <row r="93" spans="2:8" x14ac:dyDescent="0.3">
      <c r="B93" s="9">
        <v>12</v>
      </c>
      <c r="C93" s="9"/>
      <c r="D93" s="8"/>
      <c r="E93" s="8"/>
      <c r="F93" s="8"/>
      <c r="G93" s="37"/>
      <c r="H93" s="25"/>
    </row>
    <row r="94" spans="2:8" x14ac:dyDescent="0.3">
      <c r="B94" s="9">
        <v>13</v>
      </c>
      <c r="C94" s="9"/>
      <c r="D94" s="8"/>
      <c r="E94" s="8"/>
      <c r="F94" s="8"/>
      <c r="G94" s="37"/>
      <c r="H94" s="25"/>
    </row>
    <row r="95" spans="2:8" x14ac:dyDescent="0.3">
      <c r="B95" s="9">
        <v>14</v>
      </c>
      <c r="C95" s="9"/>
      <c r="D95" s="8"/>
      <c r="E95" s="8"/>
      <c r="F95" s="8"/>
      <c r="G95" s="37"/>
      <c r="H95" s="25"/>
    </row>
    <row r="96" spans="2:8" x14ac:dyDescent="0.3">
      <c r="B96" s="9">
        <v>15</v>
      </c>
      <c r="C96" s="9"/>
      <c r="D96" s="8"/>
      <c r="E96" s="8"/>
      <c r="F96" s="8"/>
      <c r="G96" s="37"/>
      <c r="H96" s="25"/>
    </row>
    <row r="97" spans="2:8" x14ac:dyDescent="0.3">
      <c r="B97" s="9">
        <v>16</v>
      </c>
      <c r="C97" s="9"/>
      <c r="D97" s="8"/>
      <c r="E97" s="8"/>
      <c r="F97" s="8"/>
      <c r="G97" s="37"/>
      <c r="H97" s="25"/>
    </row>
    <row r="98" spans="2:8" x14ac:dyDescent="0.3">
      <c r="B98" s="9">
        <v>17</v>
      </c>
      <c r="C98" s="9"/>
      <c r="D98" s="8"/>
      <c r="E98" s="8"/>
      <c r="F98" s="8"/>
      <c r="G98" s="37"/>
      <c r="H98" s="25"/>
    </row>
    <row r="99" spans="2:8" x14ac:dyDescent="0.3">
      <c r="B99" s="9" t="s">
        <v>43</v>
      </c>
      <c r="C99" s="9"/>
      <c r="D99" s="8"/>
      <c r="E99" s="8"/>
      <c r="F99" s="8"/>
      <c r="G99" s="37"/>
      <c r="H99" s="25"/>
    </row>
    <row r="101" spans="2:8" x14ac:dyDescent="0.3">
      <c r="B101" s="8"/>
      <c r="C101" s="8"/>
      <c r="D101" s="8"/>
      <c r="E101" s="8"/>
      <c r="F101" s="8"/>
      <c r="G101" s="37"/>
      <c r="H101" s="25"/>
    </row>
    <row r="102" spans="2:8" x14ac:dyDescent="0.3">
      <c r="B102" s="8"/>
      <c r="C102" s="8"/>
      <c r="D102" s="8"/>
      <c r="E102" s="8"/>
      <c r="F102" s="8"/>
      <c r="G102" s="37"/>
      <c r="H102" s="25"/>
    </row>
    <row r="103" spans="2:8" x14ac:dyDescent="0.3">
      <c r="B103" s="8"/>
      <c r="C103" s="8"/>
      <c r="D103" s="8"/>
      <c r="E103" s="8"/>
      <c r="F103" s="8"/>
      <c r="G103" s="37"/>
      <c r="H103" s="25"/>
    </row>
    <row r="104" spans="2:8" x14ac:dyDescent="0.3">
      <c r="B104" s="8"/>
      <c r="C104" s="8"/>
      <c r="D104" s="8"/>
      <c r="E104" s="8"/>
      <c r="F104" s="8"/>
      <c r="G104" s="37"/>
      <c r="H104" s="25"/>
    </row>
  </sheetData>
  <mergeCells count="92">
    <mergeCell ref="B28:D28"/>
    <mergeCell ref="B29:D29"/>
    <mergeCell ref="B61:D61"/>
    <mergeCell ref="B62:D62"/>
    <mergeCell ref="B81:H81"/>
    <mergeCell ref="D74:F74"/>
    <mergeCell ref="G74:H74"/>
    <mergeCell ref="D75:F75"/>
    <mergeCell ref="G75:H75"/>
    <mergeCell ref="E67:F67"/>
    <mergeCell ref="H68:H69"/>
    <mergeCell ref="E70:F70"/>
    <mergeCell ref="B71:D71"/>
    <mergeCell ref="H71:H73"/>
    <mergeCell ref="B73:D73"/>
    <mergeCell ref="B51:D51"/>
    <mergeCell ref="G42:H42"/>
    <mergeCell ref="E49:F49"/>
    <mergeCell ref="B50:D50"/>
    <mergeCell ref="E50:F50"/>
    <mergeCell ref="H50:H51"/>
    <mergeCell ref="B30:D30"/>
    <mergeCell ref="E31:F31"/>
    <mergeCell ref="B32:D32"/>
    <mergeCell ref="H53:H55"/>
    <mergeCell ref="E53:F53"/>
    <mergeCell ref="B45:B46"/>
    <mergeCell ref="B47:B48"/>
    <mergeCell ref="B53:D53"/>
    <mergeCell ref="E51:F51"/>
    <mergeCell ref="E52:F52"/>
    <mergeCell ref="B38:D38"/>
    <mergeCell ref="H38:H40"/>
    <mergeCell ref="B40:D40"/>
    <mergeCell ref="D41:F41"/>
    <mergeCell ref="G41:H41"/>
    <mergeCell ref="D42:F42"/>
    <mergeCell ref="B72:D72"/>
    <mergeCell ref="B54:D54"/>
    <mergeCell ref="E54:F54"/>
    <mergeCell ref="B55:D55"/>
    <mergeCell ref="E55:F55"/>
    <mergeCell ref="E64:F64"/>
    <mergeCell ref="B65:D65"/>
    <mergeCell ref="E65:F65"/>
    <mergeCell ref="E61:F61"/>
    <mergeCell ref="E62:F62"/>
    <mergeCell ref="B63:D63"/>
    <mergeCell ref="E63:F63"/>
    <mergeCell ref="E59:F59"/>
    <mergeCell ref="B60:D60"/>
    <mergeCell ref="E60:F60"/>
    <mergeCell ref="E57:F57"/>
    <mergeCell ref="H65:H66"/>
    <mergeCell ref="B66:D66"/>
    <mergeCell ref="E66:F66"/>
    <mergeCell ref="E56:F56"/>
    <mergeCell ref="B57:D57"/>
    <mergeCell ref="H57:H63"/>
    <mergeCell ref="B58:D58"/>
    <mergeCell ref="E58:F58"/>
    <mergeCell ref="E19:F19"/>
    <mergeCell ref="B20:D20"/>
    <mergeCell ref="H20:H22"/>
    <mergeCell ref="B39:D39"/>
    <mergeCell ref="B21:D21"/>
    <mergeCell ref="B22:D22"/>
    <mergeCell ref="E23:F23"/>
    <mergeCell ref="B24:D24"/>
    <mergeCell ref="H24:H30"/>
    <mergeCell ref="B25:D25"/>
    <mergeCell ref="B27:D27"/>
    <mergeCell ref="H32:H33"/>
    <mergeCell ref="B33:D33"/>
    <mergeCell ref="E34:F34"/>
    <mergeCell ref="H35:H36"/>
    <mergeCell ref="E37:F37"/>
    <mergeCell ref="H17:H18"/>
    <mergeCell ref="B18:D18"/>
    <mergeCell ref="D1:H6"/>
    <mergeCell ref="B4:B5"/>
    <mergeCell ref="D8:F8"/>
    <mergeCell ref="D9:F9"/>
    <mergeCell ref="D10:F10"/>
    <mergeCell ref="D11:F11"/>
    <mergeCell ref="D12:F12"/>
    <mergeCell ref="D13:F13"/>
    <mergeCell ref="E16:F16"/>
    <mergeCell ref="B17:D17"/>
    <mergeCell ref="B13:B14"/>
    <mergeCell ref="B11:B12"/>
    <mergeCell ref="H8:J8"/>
  </mergeCells>
  <printOptions horizontalCentered="1" verticalCentered="1"/>
  <pageMargins left="0" right="0" top="0" bottom="0" header="0.3" footer="0.3"/>
  <pageSetup scale="9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btn_Capturar">
          <controlPr defaultSize="0" autoLine="0" autoPict="0" r:id="rId5">
            <anchor moveWithCells="1">
              <from>
                <xdr:col>6</xdr:col>
                <xdr:colOff>723900</xdr:colOff>
                <xdr:row>8</xdr:row>
                <xdr:rowOff>144780</xdr:rowOff>
              </from>
              <to>
                <xdr:col>10</xdr:col>
                <xdr:colOff>152400</xdr:colOff>
                <xdr:row>12</xdr:row>
                <xdr:rowOff>22860</xdr:rowOff>
              </to>
            </anchor>
          </controlPr>
        </control>
      </mc:Choice>
      <mc:Fallback>
        <control shapeId="4098" r:id="rId4" name="btn_Captur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Q105"/>
  <sheetViews>
    <sheetView showGridLines="0" tabSelected="1" zoomScale="55" zoomScaleNormal="55" workbookViewId="0">
      <selection activeCell="U12" sqref="U12"/>
    </sheetView>
  </sheetViews>
  <sheetFormatPr defaultRowHeight="14.4" x14ac:dyDescent="0.3"/>
  <cols>
    <col min="1" max="1" width="5.88671875" customWidth="1"/>
    <col min="2" max="2" width="27.88671875" customWidth="1"/>
    <col min="3" max="3" width="33.33203125" customWidth="1"/>
    <col min="4" max="4" width="32.33203125" customWidth="1"/>
    <col min="5" max="5" width="18.5546875" customWidth="1"/>
    <col min="6" max="6" width="16.33203125" customWidth="1"/>
    <col min="7" max="8" width="11.6640625" style="29" customWidth="1"/>
    <col min="9" max="9" width="13" style="11" customWidth="1"/>
    <col min="10" max="10" width="13" style="102" customWidth="1"/>
    <col min="11" max="11" width="6.77734375" style="112" bestFit="1" customWidth="1"/>
    <col min="12" max="12" width="6.21875" style="124" customWidth="1"/>
    <col min="13" max="13" width="6.77734375" style="131" bestFit="1" customWidth="1"/>
    <col min="43" max="43" width="8.44140625" style="94" hidden="1" customWidth="1"/>
  </cols>
  <sheetData>
    <row r="1" spans="2:43" ht="43.2" customHeight="1" x14ac:dyDescent="0.3">
      <c r="D1" s="202" t="s">
        <v>0</v>
      </c>
      <c r="E1" s="203"/>
      <c r="F1" s="203"/>
      <c r="G1" s="203"/>
      <c r="H1" s="203"/>
      <c r="I1" s="204"/>
    </row>
    <row r="2" spans="2:43" ht="31.2" customHeight="1" x14ac:dyDescent="0.3">
      <c r="D2" s="205"/>
      <c r="E2" s="255"/>
      <c r="F2" s="255"/>
      <c r="G2" s="255"/>
      <c r="H2" s="255"/>
      <c r="I2" s="207"/>
      <c r="K2" s="239" t="s">
        <v>109</v>
      </c>
      <c r="L2" s="239"/>
      <c r="M2" s="239"/>
      <c r="N2" s="239"/>
      <c r="O2" s="239"/>
      <c r="P2" s="239"/>
      <c r="Q2" s="239"/>
      <c r="W2" s="145"/>
    </row>
    <row r="3" spans="2:43" ht="25.8" customHeight="1" x14ac:dyDescent="0.3">
      <c r="D3" s="205"/>
      <c r="E3" s="206"/>
      <c r="F3" s="206"/>
      <c r="G3" s="206"/>
      <c r="H3" s="206"/>
      <c r="I3" s="207"/>
      <c r="K3" s="259">
        <f ca="1">WEEKNUM(TODAY())</f>
        <v>32</v>
      </c>
      <c r="L3" s="259"/>
      <c r="M3" s="259"/>
      <c r="N3" s="259"/>
      <c r="O3" s="259"/>
      <c r="P3" s="259"/>
      <c r="Q3" s="259"/>
    </row>
    <row r="4" spans="2:43" ht="25.8" customHeight="1" x14ac:dyDescent="0.3">
      <c r="D4" s="205"/>
      <c r="E4" s="206"/>
      <c r="F4" s="206"/>
      <c r="G4" s="206"/>
      <c r="H4" s="206"/>
      <c r="I4" s="207"/>
      <c r="U4" s="253" t="s">
        <v>260</v>
      </c>
      <c r="V4" s="254"/>
      <c r="W4" s="254"/>
      <c r="X4" s="254"/>
      <c r="Y4" s="254"/>
      <c r="Z4" s="254"/>
      <c r="AA4" s="254"/>
      <c r="AB4" s="254"/>
    </row>
    <row r="5" spans="2:43" ht="41.4" customHeight="1" x14ac:dyDescent="0.3">
      <c r="B5" s="211" t="s">
        <v>103</v>
      </c>
      <c r="C5" s="96" t="s">
        <v>102</v>
      </c>
      <c r="D5" s="205"/>
      <c r="E5" s="206"/>
      <c r="F5" s="206"/>
      <c r="G5" s="206"/>
      <c r="H5" s="206"/>
      <c r="I5" s="207"/>
      <c r="U5" s="254"/>
      <c r="V5" s="254"/>
      <c r="W5" s="254"/>
      <c r="X5" s="254"/>
      <c r="Y5" s="254"/>
      <c r="Z5" s="254"/>
      <c r="AA5" s="254"/>
      <c r="AB5" s="254"/>
      <c r="AQ5" s="94" t="s">
        <v>165</v>
      </c>
    </row>
    <row r="6" spans="2:43" ht="19.8" customHeight="1" x14ac:dyDescent="0.3">
      <c r="B6" s="212"/>
      <c r="C6" s="97"/>
      <c r="D6" s="205"/>
      <c r="E6" s="206"/>
      <c r="F6" s="206"/>
      <c r="G6" s="206"/>
      <c r="H6" s="206"/>
      <c r="I6" s="207"/>
      <c r="K6" s="258" t="s">
        <v>259</v>
      </c>
      <c r="L6" s="254"/>
      <c r="M6" s="254"/>
      <c r="N6" s="254"/>
      <c r="O6" s="254"/>
      <c r="P6" s="254"/>
      <c r="Q6" s="254"/>
      <c r="U6" s="254"/>
      <c r="V6" s="254"/>
      <c r="W6" s="254"/>
      <c r="X6" s="254"/>
      <c r="Y6" s="254"/>
      <c r="Z6" s="254"/>
      <c r="AA6" s="254"/>
      <c r="AB6" s="254"/>
      <c r="AQ6" s="94" t="s">
        <v>166</v>
      </c>
    </row>
    <row r="7" spans="2:43" ht="21" x14ac:dyDescent="0.4">
      <c r="B7" s="52" t="s">
        <v>104</v>
      </c>
      <c r="C7" s="98">
        <v>45140</v>
      </c>
      <c r="D7" s="208"/>
      <c r="E7" s="209"/>
      <c r="F7" s="209"/>
      <c r="G7" s="209"/>
      <c r="H7" s="209"/>
      <c r="I7" s="210"/>
      <c r="L7" s="125"/>
      <c r="U7" s="254"/>
      <c r="V7" s="254"/>
      <c r="W7" s="254"/>
      <c r="X7" s="254"/>
      <c r="Y7" s="254"/>
      <c r="Z7" s="254"/>
      <c r="AA7" s="254"/>
      <c r="AB7" s="254"/>
      <c r="AQ7" s="94" t="s">
        <v>167</v>
      </c>
    </row>
    <row r="8" spans="2:43" ht="15.6" x14ac:dyDescent="0.3">
      <c r="B8" s="155" t="s">
        <v>104</v>
      </c>
      <c r="C8" s="98">
        <v>45142</v>
      </c>
      <c r="D8" s="22"/>
      <c r="E8" s="22"/>
      <c r="F8" s="51"/>
      <c r="G8" s="24"/>
      <c r="H8" s="24"/>
      <c r="I8" s="24"/>
      <c r="U8" s="254"/>
      <c r="V8" s="254"/>
      <c r="W8" s="254"/>
      <c r="X8" s="254"/>
      <c r="Y8" s="254"/>
      <c r="Z8" s="254"/>
      <c r="AA8" s="254"/>
      <c r="AB8" s="254"/>
      <c r="AQ8" s="94" t="s">
        <v>168</v>
      </c>
    </row>
    <row r="9" spans="2:43" ht="69" customHeight="1" x14ac:dyDescent="0.55000000000000004">
      <c r="B9" s="94" t="s">
        <v>101</v>
      </c>
      <c r="C9" s="100">
        <v>94933</v>
      </c>
      <c r="D9" s="213" t="s">
        <v>4</v>
      </c>
      <c r="E9" s="213"/>
      <c r="F9" s="213"/>
      <c r="G9" s="24"/>
      <c r="H9" s="24"/>
      <c r="I9" s="239" t="s">
        <v>107</v>
      </c>
      <c r="J9" s="239"/>
      <c r="K9" s="239"/>
      <c r="L9" s="239"/>
      <c r="R9" s="137"/>
      <c r="U9" s="254"/>
      <c r="V9" s="254"/>
      <c r="W9" s="254"/>
      <c r="X9" s="254"/>
      <c r="Y9" s="254"/>
      <c r="Z9" s="254"/>
      <c r="AA9" s="254"/>
      <c r="AB9" s="254"/>
      <c r="AQ9" s="94" t="s">
        <v>169</v>
      </c>
    </row>
    <row r="10" spans="2:43" ht="17.399999999999999" x14ac:dyDescent="0.3">
      <c r="B10" s="40" t="s">
        <v>105</v>
      </c>
      <c r="C10" s="95" t="s">
        <v>96</v>
      </c>
      <c r="D10" s="214" t="s">
        <v>5</v>
      </c>
      <c r="E10" s="214"/>
      <c r="F10" s="214"/>
      <c r="G10" s="24"/>
      <c r="H10" s="24"/>
      <c r="I10" s="24"/>
      <c r="AQ10" s="94" t="s">
        <v>170</v>
      </c>
    </row>
    <row r="11" spans="2:43" ht="17.399999999999999" customHeight="1" x14ac:dyDescent="0.3">
      <c r="D11" s="214" t="s">
        <v>6</v>
      </c>
      <c r="E11" s="214"/>
      <c r="F11" s="214"/>
      <c r="G11" s="24"/>
      <c r="H11" s="24"/>
      <c r="I11" s="24"/>
      <c r="AQ11" s="94" t="s">
        <v>171</v>
      </c>
    </row>
    <row r="12" spans="2:43" ht="17.399999999999999" customHeight="1" x14ac:dyDescent="0.6">
      <c r="B12" s="197" t="s">
        <v>44</v>
      </c>
      <c r="C12" s="92"/>
      <c r="D12" s="214" t="s">
        <v>7</v>
      </c>
      <c r="E12" s="214"/>
      <c r="F12" s="214"/>
      <c r="G12" s="24"/>
      <c r="H12" s="24"/>
      <c r="I12" s="24"/>
      <c r="AQ12" s="94" t="s">
        <v>172</v>
      </c>
    </row>
    <row r="13" spans="2:43" ht="17.399999999999999" customHeight="1" x14ac:dyDescent="0.6">
      <c r="B13" s="197"/>
      <c r="C13" s="92"/>
      <c r="D13" s="214" t="s">
        <v>8</v>
      </c>
      <c r="E13" s="214"/>
      <c r="F13" s="214"/>
      <c r="G13" s="24"/>
      <c r="H13" s="24"/>
      <c r="I13" s="24"/>
      <c r="AQ13" s="94" t="s">
        <v>173</v>
      </c>
    </row>
    <row r="14" spans="2:43" ht="17.399999999999999" customHeight="1" x14ac:dyDescent="0.6">
      <c r="B14" s="197" t="s">
        <v>45</v>
      </c>
      <c r="C14" s="92"/>
      <c r="D14" s="214" t="s">
        <v>9</v>
      </c>
      <c r="E14" s="214"/>
      <c r="F14" s="214"/>
      <c r="G14" s="24"/>
      <c r="H14" s="24"/>
      <c r="I14" s="24"/>
      <c r="AQ14" s="94" t="s">
        <v>174</v>
      </c>
    </row>
    <row r="15" spans="2:43" ht="12.6" customHeight="1" x14ac:dyDescent="0.6">
      <c r="B15" s="238"/>
      <c r="C15" s="92"/>
      <c r="D15" s="52"/>
      <c r="E15" s="52"/>
      <c r="F15" s="52"/>
      <c r="AQ15" s="94" t="s">
        <v>175</v>
      </c>
    </row>
    <row r="16" spans="2:43" s="58" customFormat="1" ht="12.6" customHeight="1" x14ac:dyDescent="0.6">
      <c r="B16" s="104"/>
      <c r="C16" s="105"/>
      <c r="D16" s="106"/>
      <c r="E16" s="57" t="s">
        <v>52</v>
      </c>
      <c r="F16" s="57" t="s">
        <v>53</v>
      </c>
      <c r="G16" s="57" t="s">
        <v>52</v>
      </c>
      <c r="H16" s="57" t="s">
        <v>53</v>
      </c>
      <c r="I16" s="57" t="s">
        <v>52</v>
      </c>
      <c r="J16" s="57" t="s">
        <v>53</v>
      </c>
      <c r="K16" s="113"/>
      <c r="L16" s="126"/>
      <c r="M16" s="132"/>
      <c r="AQ16" s="94" t="s">
        <v>176</v>
      </c>
    </row>
    <row r="17" spans="2:43" s="4" customFormat="1" ht="15.6" customHeight="1" x14ac:dyDescent="0.35">
      <c r="B17" s="38" t="s">
        <v>10</v>
      </c>
      <c r="C17" s="93"/>
      <c r="D17" s="16"/>
      <c r="E17" s="215" t="s">
        <v>11</v>
      </c>
      <c r="F17" s="216"/>
      <c r="G17" s="256" t="s">
        <v>12</v>
      </c>
      <c r="H17" s="257"/>
      <c r="I17" s="3" t="s">
        <v>13</v>
      </c>
      <c r="J17" s="3" t="s">
        <v>13</v>
      </c>
      <c r="K17" s="117">
        <f>I18</f>
        <v>0.875</v>
      </c>
      <c r="L17" s="118" t="s">
        <v>261</v>
      </c>
      <c r="M17" s="129">
        <f>SUM(K17:L17)/2</f>
        <v>0.4375</v>
      </c>
      <c r="AQ17" s="94" t="s">
        <v>177</v>
      </c>
    </row>
    <row r="18" spans="2:43" s="5" customFormat="1" ht="12" customHeight="1" x14ac:dyDescent="0.3">
      <c r="B18" s="200" t="s">
        <v>14</v>
      </c>
      <c r="C18" s="221"/>
      <c r="D18" s="201"/>
      <c r="E18" s="110">
        <f>IF(Consulta!$G$6="","",Consulta!$G$6)</f>
        <v>1</v>
      </c>
      <c r="F18" s="110">
        <f>IF(Consulta!$G$7="","",Consulta!$G$7)</f>
        <v>2</v>
      </c>
      <c r="G18" s="13">
        <f>IF(E18=0,4,IF(E18=1,3,IF(E18=2,2,IF(E18=3,1,IF(E18&gt;=4,0)))))</f>
        <v>3</v>
      </c>
      <c r="H18" s="13">
        <f>IF(F18=0,4,IF(F18=1,3,IF(F18=2,2,IF(F18=3,1,IF(F18&gt;=4,0)))))</f>
        <v>2</v>
      </c>
      <c r="I18" s="260">
        <f>SUM(G18:G19)/8</f>
        <v>0.875</v>
      </c>
      <c r="J18" s="260">
        <f>SUM(H18:H19)/8</f>
        <v>0.625</v>
      </c>
      <c r="K18" s="119"/>
      <c r="L18" s="120"/>
      <c r="M18" s="130"/>
      <c r="AQ18" s="94" t="s">
        <v>178</v>
      </c>
    </row>
    <row r="19" spans="2:43" s="5" customFormat="1" ht="12" customHeight="1" x14ac:dyDescent="0.3">
      <c r="B19" s="200" t="s">
        <v>264</v>
      </c>
      <c r="C19" s="221"/>
      <c r="D19" s="201"/>
      <c r="E19" s="161">
        <f>IF(Consulta!$H$6="","",Consulta!$H$6)</f>
        <v>0</v>
      </c>
      <c r="F19" s="161">
        <f>IF(Consulta!$H$7="","",Consulta!$H$7)</f>
        <v>1</v>
      </c>
      <c r="G19" s="13">
        <f>IF(E19=0,4,IF(E19=1,3,IF(E19=2,2,IF(E19=3,1,IF(E19&gt;=4,0)))))</f>
        <v>4</v>
      </c>
      <c r="H19" s="13">
        <f>IF(F19=0,4,IF(F19=1,3,IF(F19=2,2,IF(F19=3,1,IF(F19&gt;=4,0)))))</f>
        <v>3</v>
      </c>
      <c r="I19" s="260"/>
      <c r="J19" s="260"/>
      <c r="K19" s="119"/>
      <c r="L19" s="120"/>
      <c r="M19" s="130"/>
      <c r="AQ19" s="94" t="s">
        <v>179</v>
      </c>
    </row>
    <row r="20" spans="2:43" s="4" customFormat="1" ht="15.6" customHeight="1" x14ac:dyDescent="0.35">
      <c r="B20" s="38" t="s">
        <v>16</v>
      </c>
      <c r="C20" s="93"/>
      <c r="D20" s="15"/>
      <c r="E20" s="215" t="s">
        <v>11</v>
      </c>
      <c r="F20" s="216"/>
      <c r="G20" s="261" t="s">
        <v>12</v>
      </c>
      <c r="H20" s="261"/>
      <c r="I20" s="3" t="s">
        <v>13</v>
      </c>
      <c r="J20" s="3" t="s">
        <v>13</v>
      </c>
      <c r="K20" s="117">
        <f>I21</f>
        <v>0.33333333333333331</v>
      </c>
      <c r="L20" s="117">
        <f>J21</f>
        <v>0.75</v>
      </c>
      <c r="M20" s="129">
        <f>SUM(K20:L20)/2</f>
        <v>0.54166666666666663</v>
      </c>
      <c r="AQ20" s="94" t="s">
        <v>180</v>
      </c>
    </row>
    <row r="21" spans="2:43" s="5" customFormat="1" ht="13.2" customHeight="1" x14ac:dyDescent="0.3">
      <c r="B21" s="218" t="s">
        <v>17</v>
      </c>
      <c r="C21" s="219"/>
      <c r="D21" s="219"/>
      <c r="E21" s="162">
        <f>IF(Consulta!$I$6="","",Consulta!$I$6)</f>
        <v>3</v>
      </c>
      <c r="F21" s="162">
        <f>IF(Consulta!$I$7="","",Consulta!$I$7)</f>
        <v>2</v>
      </c>
      <c r="G21" s="13">
        <f>IF(E21=0,4,IF(E21=1,3,IF(E21=2,2,IF(E21=3,1,IF(E21&gt;=4,0)))))</f>
        <v>1</v>
      </c>
      <c r="H21" s="13">
        <f>IF(F21=0,4,IF(F21=1,3,IF(F21=2,2,IF(F21=3,1,IF(F21&gt;=4,0)))))</f>
        <v>2</v>
      </c>
      <c r="I21" s="260">
        <f>SUM(G21:G23)/12</f>
        <v>0.33333333333333331</v>
      </c>
      <c r="J21" s="260">
        <f>SUM(H21:H23)/12</f>
        <v>0.75</v>
      </c>
      <c r="K21" s="119"/>
      <c r="L21" s="120"/>
      <c r="M21" s="130"/>
      <c r="AQ21" s="94" t="s">
        <v>181</v>
      </c>
    </row>
    <row r="22" spans="2:43" s="5" customFormat="1" ht="13.2" customHeight="1" x14ac:dyDescent="0.3">
      <c r="B22" s="218" t="s">
        <v>18</v>
      </c>
      <c r="C22" s="219"/>
      <c r="D22" s="219"/>
      <c r="E22" s="162">
        <f>IF(Consulta!$J$6="","",Consulta!$J$6)</f>
        <v>4</v>
      </c>
      <c r="F22" s="162">
        <f>IF(Consulta!$J$7="","",Consulta!$J$7)</f>
        <v>1</v>
      </c>
      <c r="G22" s="13">
        <f t="shared" ref="G22:G41" si="0">IF(E22=0,4,IF(E22=1,3,IF(E22=2,2,IF(E22=3,1,IF(E22&gt;=4,0)))))</f>
        <v>0</v>
      </c>
      <c r="H22" s="13">
        <f t="shared" ref="H22:H23" si="1">IF(F22=0,4,IF(F22=1,3,IF(F22=2,2,IF(F22=3,1,IF(F22&gt;=4,0)))))</f>
        <v>3</v>
      </c>
      <c r="I22" s="260"/>
      <c r="J22" s="260"/>
      <c r="K22" s="119"/>
      <c r="L22" s="120"/>
      <c r="M22" s="130"/>
      <c r="AQ22" s="94" t="s">
        <v>182</v>
      </c>
    </row>
    <row r="23" spans="2:43" s="5" customFormat="1" ht="13.2" customHeight="1" x14ac:dyDescent="0.3">
      <c r="B23" s="200" t="s">
        <v>19</v>
      </c>
      <c r="C23" s="221"/>
      <c r="D23" s="221"/>
      <c r="E23" s="162">
        <f>IF(Consulta!$K$6="","",Consulta!$K$6)</f>
        <v>1</v>
      </c>
      <c r="F23" s="162">
        <f>IF(Consulta!$K$7="","",Consulta!$K$7)</f>
        <v>0</v>
      </c>
      <c r="G23" s="13">
        <f t="shared" si="0"/>
        <v>3</v>
      </c>
      <c r="H23" s="13">
        <f t="shared" si="1"/>
        <v>4</v>
      </c>
      <c r="I23" s="260"/>
      <c r="J23" s="260"/>
      <c r="K23" s="119"/>
      <c r="L23" s="120"/>
      <c r="M23" s="130"/>
      <c r="AQ23" s="94" t="s">
        <v>183</v>
      </c>
    </row>
    <row r="24" spans="2:43" s="4" customFormat="1" ht="15.6" customHeight="1" x14ac:dyDescent="0.35">
      <c r="B24" s="38" t="s">
        <v>20</v>
      </c>
      <c r="C24" s="93"/>
      <c r="D24" s="16"/>
      <c r="E24" s="215" t="s">
        <v>11</v>
      </c>
      <c r="F24" s="216"/>
      <c r="G24" s="261" t="s">
        <v>12</v>
      </c>
      <c r="H24" s="261"/>
      <c r="I24" s="3" t="s">
        <v>13</v>
      </c>
      <c r="J24" s="3" t="s">
        <v>13</v>
      </c>
      <c r="K24" s="117">
        <f>I25</f>
        <v>0.6428571428571429</v>
      </c>
      <c r="L24" s="117">
        <f>J25</f>
        <v>0.6428571428571429</v>
      </c>
      <c r="M24" s="129">
        <f>SUM(K24:L24)/2</f>
        <v>0.6428571428571429</v>
      </c>
      <c r="AQ24" s="94" t="s">
        <v>184</v>
      </c>
    </row>
    <row r="25" spans="2:43" s="5" customFormat="1" ht="13.2" customHeight="1" x14ac:dyDescent="0.3">
      <c r="B25" s="200" t="s">
        <v>21</v>
      </c>
      <c r="C25" s="221"/>
      <c r="D25" s="201"/>
      <c r="E25" s="162">
        <f>IF(Consulta!$L$6="","",Consulta!$L$6)</f>
        <v>4</v>
      </c>
      <c r="F25" s="162">
        <f>IF(Consulta!$L$7="","",Consulta!$L$7)</f>
        <v>1</v>
      </c>
      <c r="G25" s="13">
        <f t="shared" si="0"/>
        <v>0</v>
      </c>
      <c r="H25" s="13">
        <f>IF(F25=0,4,IF(F25=1,3,IF(F25=2,2,IF(F25=3,1,IF(F25&gt;=4,0)))))</f>
        <v>3</v>
      </c>
      <c r="I25" s="260">
        <f>SUM(G25:G31)/28</f>
        <v>0.6428571428571429</v>
      </c>
      <c r="J25" s="260">
        <f>SUM(H25:H31)/28</f>
        <v>0.6428571428571429</v>
      </c>
      <c r="K25" s="119"/>
      <c r="L25" s="120"/>
      <c r="M25" s="130"/>
      <c r="AQ25" s="94" t="s">
        <v>185</v>
      </c>
    </row>
    <row r="26" spans="2:43" s="5" customFormat="1" ht="13.2" customHeight="1" x14ac:dyDescent="0.3">
      <c r="B26" s="200" t="s">
        <v>22</v>
      </c>
      <c r="C26" s="221"/>
      <c r="D26" s="201"/>
      <c r="E26" s="162">
        <f>IF(Consulta!$M$6="","",Consulta!$M$6)</f>
        <v>1</v>
      </c>
      <c r="F26" s="162">
        <f>IF(Consulta!$M$7="","",Consulta!$M$7)</f>
        <v>3</v>
      </c>
      <c r="G26" s="13">
        <f t="shared" si="0"/>
        <v>3</v>
      </c>
      <c r="H26" s="13">
        <f t="shared" ref="H26:H41" si="2">IF(F26=0,4,IF(F26=1,3,IF(F26=2,2,IF(F26=3,1,IF(F26&gt;=4,0)))))</f>
        <v>1</v>
      </c>
      <c r="I26" s="260"/>
      <c r="J26" s="260"/>
      <c r="K26" s="119"/>
      <c r="L26" s="120"/>
      <c r="M26" s="130"/>
      <c r="AQ26" s="94" t="s">
        <v>186</v>
      </c>
    </row>
    <row r="27" spans="2:43" s="5" customFormat="1" ht="13.2" customHeight="1" x14ac:dyDescent="0.3">
      <c r="B27" s="48" t="s">
        <v>23</v>
      </c>
      <c r="C27" s="50"/>
      <c r="D27" s="49"/>
      <c r="E27" s="162">
        <f>IF(Consulta!$N$6="","",Consulta!$N$6)</f>
        <v>2</v>
      </c>
      <c r="F27" s="162">
        <f>IF(Consulta!$N$7="","",Consulta!$N$7)</f>
        <v>3</v>
      </c>
      <c r="G27" s="13">
        <f t="shared" si="0"/>
        <v>2</v>
      </c>
      <c r="H27" s="13">
        <f t="shared" si="2"/>
        <v>1</v>
      </c>
      <c r="I27" s="260"/>
      <c r="J27" s="260"/>
      <c r="K27" s="119"/>
      <c r="L27" s="120"/>
      <c r="M27" s="130"/>
      <c r="AQ27" s="94" t="s">
        <v>187</v>
      </c>
    </row>
    <row r="28" spans="2:43" s="5" customFormat="1" ht="13.2" customHeight="1" x14ac:dyDescent="0.3">
      <c r="B28" s="200" t="s">
        <v>24</v>
      </c>
      <c r="C28" s="221"/>
      <c r="D28" s="201"/>
      <c r="E28" s="162">
        <f>IF(Consulta!$O$6="","",Consulta!$O$6)</f>
        <v>1</v>
      </c>
      <c r="F28" s="162">
        <f>IF(Consulta!$O$7="","",Consulta!$O$7)</f>
        <v>1</v>
      </c>
      <c r="G28" s="13">
        <f t="shared" si="0"/>
        <v>3</v>
      </c>
      <c r="H28" s="13">
        <f t="shared" si="2"/>
        <v>3</v>
      </c>
      <c r="I28" s="260"/>
      <c r="J28" s="260"/>
      <c r="K28" s="119"/>
      <c r="L28" s="120"/>
      <c r="M28" s="130"/>
      <c r="AQ28" s="94" t="s">
        <v>188</v>
      </c>
    </row>
    <row r="29" spans="2:43" s="5" customFormat="1" ht="13.2" customHeight="1" x14ac:dyDescent="0.3">
      <c r="B29" s="200" t="s">
        <v>25</v>
      </c>
      <c r="C29" s="221"/>
      <c r="D29" s="201"/>
      <c r="E29" s="162">
        <f>IF(Consulta!$P$6="","",Consulta!$P$6)</f>
        <v>1</v>
      </c>
      <c r="F29" s="162">
        <f>IF(Consulta!$P$7="","",Consulta!$P$7)</f>
        <v>0</v>
      </c>
      <c r="G29" s="13">
        <f t="shared" si="0"/>
        <v>3</v>
      </c>
      <c r="H29" s="13">
        <f t="shared" si="2"/>
        <v>4</v>
      </c>
      <c r="I29" s="260"/>
      <c r="J29" s="260"/>
      <c r="K29" s="119"/>
      <c r="L29" s="120"/>
      <c r="M29" s="130"/>
      <c r="AQ29" s="94" t="s">
        <v>189</v>
      </c>
    </row>
    <row r="30" spans="2:43" s="5" customFormat="1" ht="13.2" customHeight="1" x14ac:dyDescent="0.3">
      <c r="B30" s="200" t="s">
        <v>26</v>
      </c>
      <c r="C30" s="221"/>
      <c r="D30" s="201"/>
      <c r="E30" s="162">
        <f>IF(Consulta!$Q$6="","",Consulta!$Q$6)</f>
        <v>1</v>
      </c>
      <c r="F30" s="162">
        <f>IF(Consulta!$Q$7="","",Consulta!$Q$7)</f>
        <v>1</v>
      </c>
      <c r="G30" s="13">
        <f t="shared" si="0"/>
        <v>3</v>
      </c>
      <c r="H30" s="13">
        <f t="shared" si="2"/>
        <v>3</v>
      </c>
      <c r="I30" s="260"/>
      <c r="J30" s="260"/>
      <c r="K30" s="119"/>
      <c r="L30" s="120"/>
      <c r="M30" s="130"/>
      <c r="AQ30" s="94" t="s">
        <v>190</v>
      </c>
    </row>
    <row r="31" spans="2:43" s="5" customFormat="1" x14ac:dyDescent="0.3">
      <c r="B31" s="222" t="s">
        <v>27</v>
      </c>
      <c r="C31" s="237"/>
      <c r="D31" s="223"/>
      <c r="E31" s="162">
        <f>IF(Consulta!$R$6="","",Consulta!$R$6)</f>
        <v>0</v>
      </c>
      <c r="F31" s="162">
        <f>IF(Consulta!$R$7="","",Consulta!$R$7)</f>
        <v>1</v>
      </c>
      <c r="G31" s="13">
        <f t="shared" si="0"/>
        <v>4</v>
      </c>
      <c r="H31" s="13">
        <f t="shared" si="2"/>
        <v>3</v>
      </c>
      <c r="I31" s="260"/>
      <c r="J31" s="260"/>
      <c r="K31" s="119"/>
      <c r="L31" s="120"/>
      <c r="M31" s="130"/>
      <c r="AQ31" s="94" t="s">
        <v>191</v>
      </c>
    </row>
    <row r="32" spans="2:43" s="4" customFormat="1" ht="15.6" customHeight="1" x14ac:dyDescent="0.35">
      <c r="B32" s="38" t="s">
        <v>28</v>
      </c>
      <c r="C32" s="93"/>
      <c r="D32" s="16"/>
      <c r="E32" s="215" t="s">
        <v>11</v>
      </c>
      <c r="F32" s="216"/>
      <c r="G32" s="261" t="s">
        <v>12</v>
      </c>
      <c r="H32" s="261"/>
      <c r="I32" s="3" t="s">
        <v>13</v>
      </c>
      <c r="J32" s="3" t="s">
        <v>13</v>
      </c>
      <c r="K32" s="117">
        <f>I33</f>
        <v>0.75</v>
      </c>
      <c r="L32" s="117">
        <f>J33</f>
        <v>0.375</v>
      </c>
      <c r="M32" s="129">
        <f>SUM(K32:L32)/2</f>
        <v>0.5625</v>
      </c>
      <c r="AQ32" s="94" t="s">
        <v>192</v>
      </c>
    </row>
    <row r="33" spans="2:43" s="5" customFormat="1" ht="13.2" customHeight="1" x14ac:dyDescent="0.3">
      <c r="B33" s="200" t="s">
        <v>29</v>
      </c>
      <c r="C33" s="221"/>
      <c r="D33" s="201"/>
      <c r="E33" s="162">
        <f>IF(Consulta!$S$6="","",Consulta!$S$6)</f>
        <v>0</v>
      </c>
      <c r="F33" s="162">
        <f>IF(Consulta!$S$7="","",Consulta!$S$7)</f>
        <v>2</v>
      </c>
      <c r="G33" s="13">
        <f t="shared" si="0"/>
        <v>4</v>
      </c>
      <c r="H33" s="13">
        <f t="shared" si="2"/>
        <v>2</v>
      </c>
      <c r="I33" s="260">
        <f>SUM(G33:G34)/8</f>
        <v>0.75</v>
      </c>
      <c r="J33" s="260">
        <f>SUM(H33:H34)/8</f>
        <v>0.375</v>
      </c>
      <c r="K33" s="119"/>
      <c r="L33" s="119"/>
      <c r="M33" s="130"/>
      <c r="AQ33" s="94" t="s">
        <v>193</v>
      </c>
    </row>
    <row r="34" spans="2:43" s="5" customFormat="1" ht="13.2" customHeight="1" x14ac:dyDescent="0.3">
      <c r="B34" s="200" t="s">
        <v>30</v>
      </c>
      <c r="C34" s="221"/>
      <c r="D34" s="201"/>
      <c r="E34" s="162">
        <f>IF(Consulta!$T$6="","",Consulta!$T$6)</f>
        <v>2</v>
      </c>
      <c r="F34" s="162">
        <f>IF(Consulta!$T$7="","",Consulta!$T$7)</f>
        <v>3</v>
      </c>
      <c r="G34" s="13">
        <f t="shared" si="0"/>
        <v>2</v>
      </c>
      <c r="H34" s="13">
        <f t="shared" si="2"/>
        <v>1</v>
      </c>
      <c r="I34" s="260"/>
      <c r="J34" s="260"/>
      <c r="K34" s="119"/>
      <c r="L34" s="119"/>
      <c r="M34" s="130"/>
      <c r="AQ34" s="94" t="s">
        <v>194</v>
      </c>
    </row>
    <row r="35" spans="2:43" s="4" customFormat="1" ht="18" x14ac:dyDescent="0.35">
      <c r="B35" s="38" t="s">
        <v>31</v>
      </c>
      <c r="C35" s="93"/>
      <c r="D35" s="15"/>
      <c r="E35" s="215" t="s">
        <v>11</v>
      </c>
      <c r="F35" s="216"/>
      <c r="G35" s="261" t="s">
        <v>12</v>
      </c>
      <c r="H35" s="261"/>
      <c r="I35" s="3" t="s">
        <v>13</v>
      </c>
      <c r="J35" s="3" t="s">
        <v>13</v>
      </c>
      <c r="K35" s="117">
        <f>I36</f>
        <v>0.125</v>
      </c>
      <c r="L35" s="117">
        <f>J36</f>
        <v>0.125</v>
      </c>
      <c r="M35" s="129">
        <f>SUM(K35:L35)/2</f>
        <v>0.125</v>
      </c>
      <c r="AQ35" s="94" t="s">
        <v>195</v>
      </c>
    </row>
    <row r="36" spans="2:43" s="5" customFormat="1" ht="13.2" customHeight="1" x14ac:dyDescent="0.3">
      <c r="B36" s="48" t="s">
        <v>32</v>
      </c>
      <c r="C36" s="50"/>
      <c r="D36" s="50"/>
      <c r="E36" s="163">
        <f>IF(Consulta!$U$6="","",Consulta!$U$6)</f>
        <v>3</v>
      </c>
      <c r="F36" s="163">
        <f>IF(Consulta!$U$7="","",Consulta!$U$7)</f>
        <v>3</v>
      </c>
      <c r="G36" s="13">
        <f t="shared" si="0"/>
        <v>1</v>
      </c>
      <c r="H36" s="13">
        <f t="shared" si="2"/>
        <v>1</v>
      </c>
      <c r="I36" s="260">
        <f>SUM(G36:G37)/8</f>
        <v>0.125</v>
      </c>
      <c r="J36" s="260">
        <f>SUM(H36:H37)/8</f>
        <v>0.125</v>
      </c>
      <c r="K36" s="119"/>
      <c r="L36" s="119"/>
      <c r="M36" s="130"/>
      <c r="AQ36" s="94" t="s">
        <v>196</v>
      </c>
    </row>
    <row r="37" spans="2:43" s="5" customFormat="1" ht="13.2" customHeight="1" x14ac:dyDescent="0.3">
      <c r="B37" s="48" t="s">
        <v>33</v>
      </c>
      <c r="C37" s="50"/>
      <c r="D37" s="50"/>
      <c r="E37" s="163">
        <f>IF(Consulta!$V$6="","",Consulta!$V$6)</f>
        <v>4</v>
      </c>
      <c r="F37" s="163">
        <f>IF(Consulta!$V$7="","",Consulta!$V$7)</f>
        <v>4</v>
      </c>
      <c r="G37" s="13">
        <f t="shared" si="0"/>
        <v>0</v>
      </c>
      <c r="H37" s="13">
        <f t="shared" si="2"/>
        <v>0</v>
      </c>
      <c r="I37" s="260"/>
      <c r="J37" s="260"/>
      <c r="K37" s="119"/>
      <c r="L37" s="119"/>
      <c r="M37" s="130"/>
      <c r="AQ37" s="94" t="s">
        <v>197</v>
      </c>
    </row>
    <row r="38" spans="2:43" s="26" customFormat="1" ht="19.95" customHeight="1" x14ac:dyDescent="0.35">
      <c r="B38" s="38" t="s">
        <v>34</v>
      </c>
      <c r="C38" s="93"/>
      <c r="D38" s="31"/>
      <c r="E38" s="215" t="s">
        <v>11</v>
      </c>
      <c r="F38" s="216"/>
      <c r="G38" s="261" t="s">
        <v>12</v>
      </c>
      <c r="H38" s="261"/>
      <c r="I38" s="3" t="s">
        <v>13</v>
      </c>
      <c r="J38" s="3" t="s">
        <v>13</v>
      </c>
      <c r="K38" s="117">
        <f>I39</f>
        <v>0.83333333333333337</v>
      </c>
      <c r="L38" s="117">
        <f>J39</f>
        <v>0.5</v>
      </c>
      <c r="M38" s="129">
        <f>SUM(K38:L38)/2</f>
        <v>0.66666666666666674</v>
      </c>
      <c r="AQ38" s="94" t="s">
        <v>198</v>
      </c>
    </row>
    <row r="39" spans="2:43" s="5" customFormat="1" ht="13.95" customHeight="1" x14ac:dyDescent="0.3">
      <c r="B39" s="218" t="s">
        <v>35</v>
      </c>
      <c r="C39" s="219"/>
      <c r="D39" s="219"/>
      <c r="E39" s="162">
        <f>IF(Consulta!$W$6="","",Consulta!$W$6)</f>
        <v>0</v>
      </c>
      <c r="F39" s="162">
        <f>IF(Consulta!$W$7="","",Consulta!$W$7)</f>
        <v>3</v>
      </c>
      <c r="G39" s="13">
        <f t="shared" si="0"/>
        <v>4</v>
      </c>
      <c r="H39" s="13">
        <f t="shared" si="2"/>
        <v>1</v>
      </c>
      <c r="I39" s="260">
        <f>SUM(G39:G41)/12</f>
        <v>0.83333333333333337</v>
      </c>
      <c r="J39" s="260">
        <f>SUM(H39:H41)/12</f>
        <v>0.5</v>
      </c>
      <c r="K39" s="119"/>
      <c r="L39" s="120"/>
      <c r="M39" s="130"/>
      <c r="AQ39" s="94" t="s">
        <v>199</v>
      </c>
    </row>
    <row r="40" spans="2:43" s="5" customFormat="1" ht="13.95" customHeight="1" x14ac:dyDescent="0.3">
      <c r="B40" s="218" t="s">
        <v>36</v>
      </c>
      <c r="C40" s="219"/>
      <c r="D40" s="219"/>
      <c r="E40" s="162">
        <f>IF(Consulta!$X$6="","",Consulta!$X$6)</f>
        <v>1</v>
      </c>
      <c r="F40" s="162">
        <f>IF(Consulta!$X$7="","",Consulta!$X$7)</f>
        <v>0</v>
      </c>
      <c r="G40" s="13">
        <f t="shared" si="0"/>
        <v>3</v>
      </c>
      <c r="H40" s="13">
        <f t="shared" si="2"/>
        <v>4</v>
      </c>
      <c r="I40" s="260"/>
      <c r="J40" s="260"/>
      <c r="K40" s="114"/>
      <c r="L40" s="127"/>
      <c r="M40" s="133"/>
      <c r="AQ40" s="94" t="s">
        <v>200</v>
      </c>
    </row>
    <row r="41" spans="2:43" s="5" customFormat="1" x14ac:dyDescent="0.3">
      <c r="B41" s="218" t="s">
        <v>37</v>
      </c>
      <c r="C41" s="219"/>
      <c r="D41" s="219"/>
      <c r="E41" s="162">
        <f>IF(Consulta!$Y$6="","",Consulta!$Y$6)</f>
        <v>1</v>
      </c>
      <c r="F41" s="162">
        <f>IF(Consulta!$Y$7="","",Consulta!$Y$7)</f>
        <v>3</v>
      </c>
      <c r="G41" s="13">
        <f t="shared" si="0"/>
        <v>3</v>
      </c>
      <c r="H41" s="13">
        <f t="shared" si="2"/>
        <v>1</v>
      </c>
      <c r="I41" s="260"/>
      <c r="J41" s="260"/>
      <c r="K41" s="114"/>
      <c r="L41" s="127"/>
      <c r="M41" s="133"/>
      <c r="AQ41" s="94" t="s">
        <v>201</v>
      </c>
    </row>
    <row r="42" spans="2:43" ht="21" customHeight="1" x14ac:dyDescent="0.3">
      <c r="B42" s="1"/>
      <c r="C42" s="1"/>
      <c r="D42" s="244" t="s">
        <v>38</v>
      </c>
      <c r="E42" s="244"/>
      <c r="F42" s="245"/>
      <c r="G42" s="111">
        <f>SUM(G18:G19,G21:G23,G25:G31,G33:G34,G36:G37,G39:G41)</f>
        <v>46</v>
      </c>
      <c r="H42" s="111">
        <f>SUM(H18:H19,H21:H23,H25:H31,H33:H34,H36:H37,H39:H41)</f>
        <v>42</v>
      </c>
      <c r="I42" s="269" t="s">
        <v>40</v>
      </c>
      <c r="J42" s="270"/>
      <c r="K42" s="267" t="s">
        <v>108</v>
      </c>
      <c r="L42" s="267"/>
      <c r="AQ42" s="94" t="s">
        <v>202</v>
      </c>
    </row>
    <row r="43" spans="2:43" ht="39.6" customHeight="1" x14ac:dyDescent="0.3">
      <c r="B43" s="2"/>
      <c r="C43" s="2"/>
      <c r="D43" s="264"/>
      <c r="E43" s="265"/>
      <c r="F43" s="265"/>
      <c r="G43" s="123"/>
      <c r="H43" s="123"/>
      <c r="I43" s="122">
        <f>G42/76</f>
        <v>0.60526315789473684</v>
      </c>
      <c r="J43" s="122">
        <f>H42/76</f>
        <v>0.55263157894736847</v>
      </c>
      <c r="K43" s="268">
        <f>SUM(I43:J43)/2</f>
        <v>0.57894736842105265</v>
      </c>
      <c r="L43" s="268"/>
      <c r="AQ43" s="94" t="s">
        <v>203</v>
      </c>
    </row>
    <row r="44" spans="2:43" ht="14.4" customHeight="1" x14ac:dyDescent="0.3">
      <c r="AQ44" s="94" t="s">
        <v>204</v>
      </c>
    </row>
    <row r="45" spans="2:43" ht="14.4" customHeight="1" x14ac:dyDescent="0.4">
      <c r="B45" s="39"/>
      <c r="C45" s="39"/>
      <c r="AQ45" s="94" t="s">
        <v>205</v>
      </c>
    </row>
    <row r="46" spans="2:43" ht="14.4" customHeight="1" x14ac:dyDescent="0.6">
      <c r="B46" s="197" t="s">
        <v>44</v>
      </c>
      <c r="C46" s="92"/>
      <c r="AQ46" s="94" t="s">
        <v>206</v>
      </c>
    </row>
    <row r="47" spans="2:43" ht="14.4" customHeight="1" x14ac:dyDescent="0.6">
      <c r="B47" s="197"/>
      <c r="C47" s="92"/>
      <c r="AQ47" s="94" t="s">
        <v>207</v>
      </c>
    </row>
    <row r="48" spans="2:43" ht="14.4" customHeight="1" x14ac:dyDescent="0.6">
      <c r="B48" s="197" t="s">
        <v>47</v>
      </c>
      <c r="C48" s="92"/>
      <c r="AQ48" s="94" t="s">
        <v>208</v>
      </c>
    </row>
    <row r="49" spans="2:43" ht="14.4" customHeight="1" x14ac:dyDescent="0.6">
      <c r="B49" s="197"/>
      <c r="C49" s="92"/>
      <c r="E49" s="57" t="s">
        <v>52</v>
      </c>
      <c r="F49" s="57" t="s">
        <v>53</v>
      </c>
      <c r="G49" s="57" t="s">
        <v>52</v>
      </c>
      <c r="H49" s="57" t="s">
        <v>53</v>
      </c>
      <c r="I49" s="57" t="s">
        <v>52</v>
      </c>
      <c r="J49" s="57" t="s">
        <v>53</v>
      </c>
      <c r="AQ49" s="94" t="s">
        <v>209</v>
      </c>
    </row>
    <row r="50" spans="2:43" ht="18" x14ac:dyDescent="0.35">
      <c r="B50" s="38" t="s">
        <v>10</v>
      </c>
      <c r="C50" s="93"/>
      <c r="D50" s="15"/>
      <c r="E50" s="217" t="s">
        <v>11</v>
      </c>
      <c r="F50" s="217"/>
      <c r="G50" s="256" t="s">
        <v>12</v>
      </c>
      <c r="H50" s="257"/>
      <c r="I50" s="3" t="s">
        <v>13</v>
      </c>
      <c r="J50" s="3" t="s">
        <v>13</v>
      </c>
      <c r="K50" s="121">
        <f>I51</f>
        <v>0.125</v>
      </c>
      <c r="L50" s="121">
        <f>J51</f>
        <v>0.5</v>
      </c>
      <c r="M50" s="129">
        <f>SUM(K50:L50)/2</f>
        <v>0.3125</v>
      </c>
      <c r="AQ50" s="94" t="s">
        <v>210</v>
      </c>
    </row>
    <row r="51" spans="2:43" x14ac:dyDescent="0.3">
      <c r="B51" s="200" t="s">
        <v>14</v>
      </c>
      <c r="C51" s="221"/>
      <c r="D51" s="221"/>
      <c r="E51" s="110">
        <f>IF(Consulta!G37="","",Consulta!G37)</f>
        <v>3</v>
      </c>
      <c r="F51" s="110">
        <f>IF(Consulta!G38="","",Consulta!G38)</f>
        <v>3</v>
      </c>
      <c r="G51" s="13">
        <f>IF(ISBLANK(E51),"",IF(E51=0,4,IF(E51=1,3,IF(E51=2,2,IF(E51=3,1,IF(E51&gt;=4,0))))))</f>
        <v>1</v>
      </c>
      <c r="H51" s="13">
        <f>IF(ISBLANK(F51),"",IF(F51=0,4,IF(F51=1,3,IF(F51=2,2,IF(F51=3,1,IF(F51&gt;=4,0))))))</f>
        <v>1</v>
      </c>
      <c r="I51" s="242">
        <f>SUM(G51:G52)/8</f>
        <v>0.125</v>
      </c>
      <c r="J51" s="198">
        <f>SUM(H51:H52)/8</f>
        <v>0.5</v>
      </c>
      <c r="K51" s="116"/>
      <c r="L51" s="116"/>
      <c r="M51" s="130"/>
      <c r="AQ51" s="94" t="s">
        <v>211</v>
      </c>
    </row>
    <row r="52" spans="2:43" x14ac:dyDescent="0.3">
      <c r="B52" s="200" t="s">
        <v>15</v>
      </c>
      <c r="C52" s="221"/>
      <c r="D52" s="221"/>
      <c r="E52" s="161">
        <f>IF(Consulta!H37="","",Consulta!H37)</f>
        <v>4</v>
      </c>
      <c r="F52" s="161">
        <f>IF(Consulta!H38="","",Consulta!H38)</f>
        <v>1</v>
      </c>
      <c r="G52" s="13">
        <f>IF(ISBLANK(E52),"",IF(E52=0,4,IF(E52=1,3,IF(E52=2,2,IF(E52=3,1,IF(E52&gt;=4,0))))))</f>
        <v>0</v>
      </c>
      <c r="H52" s="13">
        <f>IF(ISBLANK(F52),"",IF(F52=0,4,IF(F52=1,3,IF(F52=2,2,IF(F52=3,1,IF(F52&gt;=4,0))))))</f>
        <v>3</v>
      </c>
      <c r="I52" s="263"/>
      <c r="J52" s="199"/>
      <c r="K52" s="116"/>
      <c r="L52" s="116"/>
      <c r="M52" s="130"/>
      <c r="AQ52" s="94" t="s">
        <v>212</v>
      </c>
    </row>
    <row r="53" spans="2:43" ht="18" x14ac:dyDescent="0.35">
      <c r="B53" s="38" t="s">
        <v>16</v>
      </c>
      <c r="C53" s="93"/>
      <c r="D53" s="15"/>
      <c r="E53" s="217" t="s">
        <v>11</v>
      </c>
      <c r="F53" s="217"/>
      <c r="G53" s="261" t="s">
        <v>12</v>
      </c>
      <c r="H53" s="261"/>
      <c r="I53" s="115" t="s">
        <v>13</v>
      </c>
      <c r="J53" s="3" t="s">
        <v>13</v>
      </c>
      <c r="K53" s="121">
        <f>I54</f>
        <v>0.5</v>
      </c>
      <c r="L53" s="121">
        <f>J54</f>
        <v>0.58333333333333337</v>
      </c>
      <c r="M53" s="129">
        <f>SUM(K53:L53)/2</f>
        <v>0.54166666666666674</v>
      </c>
      <c r="AQ53" s="94" t="s">
        <v>213</v>
      </c>
    </row>
    <row r="54" spans="2:43" x14ac:dyDescent="0.3">
      <c r="B54" s="218" t="s">
        <v>17</v>
      </c>
      <c r="C54" s="219"/>
      <c r="D54" s="219"/>
      <c r="E54" s="162">
        <f>IF(Consulta!I37="","",Consulta!I37)</f>
        <v>3</v>
      </c>
      <c r="F54" s="162">
        <f>IF(Consulta!I38="","",Consulta!I38)</f>
        <v>3</v>
      </c>
      <c r="G54" s="13">
        <f>IF(ISBLANK(E54),"",IF(E54=0,4,IF(E54=1,3,IF(E54=2,2,IF(E54=3,1,IF(E54&gt;=4,0))))))</f>
        <v>1</v>
      </c>
      <c r="H54" s="13">
        <f>IF(ISBLANK(F54),"",IF(F54=0,4,IF(F54=1,3,IF(F54=2,2,IF(F54=3,1,IF(F54&gt;=4,0))))))</f>
        <v>1</v>
      </c>
      <c r="I54" s="242">
        <f>SUM(G54:G56)/12</f>
        <v>0.5</v>
      </c>
      <c r="J54" s="198">
        <f>SUM(H54:H56)/12</f>
        <v>0.58333333333333337</v>
      </c>
      <c r="K54" s="116"/>
      <c r="L54" s="116"/>
      <c r="M54" s="130"/>
      <c r="AQ54" s="94" t="s">
        <v>214</v>
      </c>
    </row>
    <row r="55" spans="2:43" x14ac:dyDescent="0.3">
      <c r="B55" s="218" t="s">
        <v>18</v>
      </c>
      <c r="C55" s="219"/>
      <c r="D55" s="219"/>
      <c r="E55" s="162">
        <f>IF(Consulta!J37="","",Consulta!J37)</f>
        <v>1</v>
      </c>
      <c r="F55" s="162">
        <f>IF(Consulta!J38="","",Consulta!J38)</f>
        <v>2</v>
      </c>
      <c r="G55" s="13">
        <f t="shared" ref="G55:H74" si="3">IF(ISBLANK(E55),"",IF(E55=0,4,IF(E55=1,3,IF(E55=2,2,IF(E55=3,1,IF(E55&gt;=4,0))))))</f>
        <v>3</v>
      </c>
      <c r="H55" s="13">
        <f t="shared" ref="H55:H56" si="4">IF(ISBLANK(F55),"",IF(F55=0,4,IF(F55=1,3,IF(F55=2,2,IF(F55=3,1,IF(F55&gt;=4,0))))))</f>
        <v>2</v>
      </c>
      <c r="I55" s="262"/>
      <c r="J55" s="220"/>
      <c r="K55" s="116"/>
      <c r="L55" s="116"/>
      <c r="M55" s="130"/>
      <c r="AQ55" s="94" t="s">
        <v>215</v>
      </c>
    </row>
    <row r="56" spans="2:43" x14ac:dyDescent="0.3">
      <c r="B56" s="200" t="s">
        <v>19</v>
      </c>
      <c r="C56" s="221"/>
      <c r="D56" s="221"/>
      <c r="E56" s="162">
        <f>IF(Consulta!K37="","",Consulta!K37)</f>
        <v>2</v>
      </c>
      <c r="F56" s="162">
        <f>IF(Consulta!K38="","",Consulta!K38)</f>
        <v>0</v>
      </c>
      <c r="G56" s="13">
        <f t="shared" si="3"/>
        <v>2</v>
      </c>
      <c r="H56" s="13">
        <f t="shared" si="4"/>
        <v>4</v>
      </c>
      <c r="I56" s="263"/>
      <c r="J56" s="199"/>
      <c r="K56" s="116"/>
      <c r="L56" s="116"/>
      <c r="M56" s="130"/>
      <c r="AQ56" s="94" t="s">
        <v>216</v>
      </c>
    </row>
    <row r="57" spans="2:43" ht="18" x14ac:dyDescent="0.35">
      <c r="B57" s="38" t="s">
        <v>20</v>
      </c>
      <c r="C57" s="93"/>
      <c r="D57" s="15"/>
      <c r="E57" s="217" t="s">
        <v>11</v>
      </c>
      <c r="F57" s="217"/>
      <c r="G57" s="261" t="s">
        <v>12</v>
      </c>
      <c r="H57" s="261"/>
      <c r="I57" s="115" t="s">
        <v>13</v>
      </c>
      <c r="J57" s="3" t="s">
        <v>13</v>
      </c>
      <c r="K57" s="121">
        <f>I58</f>
        <v>0.5</v>
      </c>
      <c r="L57" s="121">
        <f>J58</f>
        <v>0.32142857142857145</v>
      </c>
      <c r="M57" s="129">
        <f>SUM(K57:L57)/2</f>
        <v>0.4107142857142857</v>
      </c>
    </row>
    <row r="58" spans="2:43" x14ac:dyDescent="0.3">
      <c r="B58" s="200" t="s">
        <v>21</v>
      </c>
      <c r="C58" s="221"/>
      <c r="D58" s="221"/>
      <c r="E58" s="162">
        <f>IF(Consulta!L37="","",Consulta!L37)</f>
        <v>0</v>
      </c>
      <c r="F58" s="162">
        <f>IF(Consulta!L38="","",Consulta!L38)</f>
        <v>3</v>
      </c>
      <c r="G58" s="13">
        <f t="shared" si="3"/>
        <v>4</v>
      </c>
      <c r="H58" s="13">
        <f t="shared" si="3"/>
        <v>1</v>
      </c>
      <c r="I58" s="242">
        <f>SUM(G58:G64)/28</f>
        <v>0.5</v>
      </c>
      <c r="J58" s="242">
        <f>SUM(H58:H64)/28</f>
        <v>0.32142857142857145</v>
      </c>
      <c r="K58" s="116"/>
      <c r="L58" s="116"/>
      <c r="M58" s="130"/>
    </row>
    <row r="59" spans="2:43" x14ac:dyDescent="0.3">
      <c r="B59" s="200" t="s">
        <v>22</v>
      </c>
      <c r="C59" s="221"/>
      <c r="D59" s="221"/>
      <c r="E59" s="162">
        <f>IF(Consulta!M37="","",Consulta!M37)</f>
        <v>2</v>
      </c>
      <c r="F59" s="162">
        <f>IF(Consulta!M38="","",Consulta!M38)</f>
        <v>2</v>
      </c>
      <c r="G59" s="13">
        <f t="shared" si="3"/>
        <v>2</v>
      </c>
      <c r="H59" s="13">
        <f t="shared" si="3"/>
        <v>2</v>
      </c>
      <c r="I59" s="262"/>
      <c r="J59" s="220"/>
      <c r="K59" s="116"/>
      <c r="L59" s="116"/>
      <c r="M59" s="130"/>
    </row>
    <row r="60" spans="2:43" x14ac:dyDescent="0.3">
      <c r="B60" s="48" t="s">
        <v>23</v>
      </c>
      <c r="C60" s="50"/>
      <c r="D60" s="50"/>
      <c r="E60" s="162">
        <f>IF(Consulta!N37="","",Consulta!N37)</f>
        <v>4</v>
      </c>
      <c r="F60" s="162">
        <f>IF(Consulta!N38="","",Consulta!N38)</f>
        <v>4</v>
      </c>
      <c r="G60" s="13">
        <f t="shared" si="3"/>
        <v>0</v>
      </c>
      <c r="H60" s="13">
        <f t="shared" si="3"/>
        <v>0</v>
      </c>
      <c r="I60" s="262"/>
      <c r="J60" s="220"/>
      <c r="K60" s="116"/>
      <c r="L60" s="116"/>
      <c r="M60" s="130"/>
    </row>
    <row r="61" spans="2:43" x14ac:dyDescent="0.3">
      <c r="B61" s="200" t="s">
        <v>24</v>
      </c>
      <c r="C61" s="221"/>
      <c r="D61" s="221"/>
      <c r="E61" s="162">
        <f>IF(Consulta!O37="","",Consulta!O37)</f>
        <v>0</v>
      </c>
      <c r="F61" s="162">
        <f>IF(Consulta!O38="","",Consulta!O38)</f>
        <v>3</v>
      </c>
      <c r="G61" s="13">
        <f t="shared" si="3"/>
        <v>4</v>
      </c>
      <c r="H61" s="13">
        <f t="shared" si="3"/>
        <v>1</v>
      </c>
      <c r="I61" s="262"/>
      <c r="J61" s="220"/>
      <c r="K61" s="116"/>
      <c r="L61" s="116"/>
      <c r="M61" s="130"/>
    </row>
    <row r="62" spans="2:43" x14ac:dyDescent="0.3">
      <c r="B62" s="200" t="s">
        <v>25</v>
      </c>
      <c r="C62" s="221"/>
      <c r="D62" s="221"/>
      <c r="E62" s="162">
        <f>IF(Consulta!P37="","",Consulta!P37)</f>
        <v>3</v>
      </c>
      <c r="F62" s="162">
        <f>IF(Consulta!P38="","",Consulta!P38)</f>
        <v>1</v>
      </c>
      <c r="G62" s="13">
        <f t="shared" si="3"/>
        <v>1</v>
      </c>
      <c r="H62" s="13">
        <f t="shared" si="3"/>
        <v>3</v>
      </c>
      <c r="I62" s="262"/>
      <c r="J62" s="220"/>
      <c r="K62" s="116"/>
      <c r="L62" s="116"/>
      <c r="M62" s="130"/>
    </row>
    <row r="63" spans="2:43" x14ac:dyDescent="0.3">
      <c r="B63" s="200" t="s">
        <v>26</v>
      </c>
      <c r="C63" s="221"/>
      <c r="D63" s="221"/>
      <c r="E63" s="162">
        <f>IF(Consulta!Q37="","",Consulta!Q37)</f>
        <v>2</v>
      </c>
      <c r="F63" s="162">
        <f>IF(Consulta!Q38="","",Consulta!Q38)</f>
        <v>2</v>
      </c>
      <c r="G63" s="13">
        <f t="shared" si="3"/>
        <v>2</v>
      </c>
      <c r="H63" s="13">
        <f t="shared" si="3"/>
        <v>2</v>
      </c>
      <c r="I63" s="262"/>
      <c r="J63" s="220"/>
      <c r="K63" s="116"/>
      <c r="L63" s="116"/>
      <c r="M63" s="130"/>
    </row>
    <row r="64" spans="2:43" x14ac:dyDescent="0.3">
      <c r="B64" s="222" t="s">
        <v>27</v>
      </c>
      <c r="C64" s="237"/>
      <c r="D64" s="237"/>
      <c r="E64" s="162">
        <f>IF(Consulta!R37="","",Consulta!R37)</f>
        <v>3</v>
      </c>
      <c r="F64" s="162">
        <f>IF(Consulta!R38="","",Consulta!R38)</f>
        <v>4</v>
      </c>
      <c r="G64" s="13">
        <f t="shared" si="3"/>
        <v>1</v>
      </c>
      <c r="H64" s="13">
        <f t="shared" si="3"/>
        <v>0</v>
      </c>
      <c r="I64" s="263"/>
      <c r="J64" s="199"/>
      <c r="K64" s="116"/>
      <c r="L64" s="116"/>
      <c r="M64" s="130"/>
    </row>
    <row r="65" spans="2:13" ht="18" x14ac:dyDescent="0.35">
      <c r="B65" s="38" t="s">
        <v>28</v>
      </c>
      <c r="C65" s="93"/>
      <c r="D65" s="15"/>
      <c r="E65" s="217" t="s">
        <v>11</v>
      </c>
      <c r="F65" s="217"/>
      <c r="G65" s="261" t="s">
        <v>12</v>
      </c>
      <c r="H65" s="261"/>
      <c r="I65" s="115" t="s">
        <v>13</v>
      </c>
      <c r="J65" s="3" t="s">
        <v>13</v>
      </c>
      <c r="K65" s="121">
        <f>I66</f>
        <v>0.75</v>
      </c>
      <c r="L65" s="121">
        <f>J66</f>
        <v>0.625</v>
      </c>
      <c r="M65" s="129">
        <f>SUM(K65:L65)/2</f>
        <v>0.6875</v>
      </c>
    </row>
    <row r="66" spans="2:13" x14ac:dyDescent="0.3">
      <c r="B66" s="200" t="s">
        <v>29</v>
      </c>
      <c r="C66" s="221"/>
      <c r="D66" s="221"/>
      <c r="E66" s="162">
        <f>IF(Consulta!S37="","",Consulta!S37)</f>
        <v>2</v>
      </c>
      <c r="F66" s="162">
        <f>IF(Consulta!S38="","",Consulta!S38)</f>
        <v>1</v>
      </c>
      <c r="G66" s="13">
        <f t="shared" si="3"/>
        <v>2</v>
      </c>
      <c r="H66" s="13">
        <f t="shared" si="3"/>
        <v>3</v>
      </c>
      <c r="I66" s="242">
        <f>SUM(G66:G67)/8</f>
        <v>0.75</v>
      </c>
      <c r="J66" s="198">
        <f>SUM(H66:H67)/8</f>
        <v>0.625</v>
      </c>
      <c r="K66" s="116"/>
      <c r="L66" s="116"/>
      <c r="M66" s="130"/>
    </row>
    <row r="67" spans="2:13" x14ac:dyDescent="0.3">
      <c r="B67" s="200" t="s">
        <v>30</v>
      </c>
      <c r="C67" s="221"/>
      <c r="D67" s="221"/>
      <c r="E67" s="162">
        <f>IF(Consulta!T37="","",Consulta!T37)</f>
        <v>0</v>
      </c>
      <c r="F67" s="162">
        <f>IF(Consulta!T38="","",Consulta!T38)</f>
        <v>2</v>
      </c>
      <c r="G67" s="13">
        <f t="shared" si="3"/>
        <v>4</v>
      </c>
      <c r="H67" s="13">
        <f t="shared" si="3"/>
        <v>2</v>
      </c>
      <c r="I67" s="262"/>
      <c r="J67" s="220"/>
      <c r="K67" s="116"/>
      <c r="L67" s="116"/>
      <c r="M67" s="130"/>
    </row>
    <row r="68" spans="2:13" ht="18" x14ac:dyDescent="0.35">
      <c r="B68" s="38" t="s">
        <v>31</v>
      </c>
      <c r="C68" s="93"/>
      <c r="D68" s="15"/>
      <c r="E68" s="217" t="s">
        <v>11</v>
      </c>
      <c r="F68" s="217"/>
      <c r="G68" s="261" t="s">
        <v>12</v>
      </c>
      <c r="H68" s="261"/>
      <c r="I68" s="115" t="s">
        <v>13</v>
      </c>
      <c r="J68" s="3" t="s">
        <v>13</v>
      </c>
      <c r="K68" s="121">
        <f>I69</f>
        <v>0.625</v>
      </c>
      <c r="L68" s="121">
        <f>J69</f>
        <v>0.75</v>
      </c>
      <c r="M68" s="129">
        <f>SUM(K68:L68)/2</f>
        <v>0.6875</v>
      </c>
    </row>
    <row r="69" spans="2:13" x14ac:dyDescent="0.3">
      <c r="B69" s="48" t="s">
        <v>32</v>
      </c>
      <c r="C69" s="50"/>
      <c r="D69" s="50"/>
      <c r="E69" s="163">
        <f>IF(Consulta!U37="","",Consulta!U37)</f>
        <v>2</v>
      </c>
      <c r="F69" s="163">
        <f>IF(Consulta!U38="","",Consulta!U38)</f>
        <v>0</v>
      </c>
      <c r="G69" s="13">
        <f t="shared" si="3"/>
        <v>2</v>
      </c>
      <c r="H69" s="13">
        <f t="shared" si="3"/>
        <v>4</v>
      </c>
      <c r="I69" s="242">
        <f>SUM(G69:G70)/8</f>
        <v>0.625</v>
      </c>
      <c r="J69" s="198">
        <f>SUM(H69:H70)/8</f>
        <v>0.75</v>
      </c>
      <c r="K69" s="116"/>
      <c r="L69" s="116"/>
      <c r="M69" s="130"/>
    </row>
    <row r="70" spans="2:13" x14ac:dyDescent="0.3">
      <c r="B70" s="48" t="s">
        <v>33</v>
      </c>
      <c r="C70" s="50"/>
      <c r="D70" s="50"/>
      <c r="E70" s="163">
        <f>IF(Consulta!V37="","",Consulta!V37)</f>
        <v>1</v>
      </c>
      <c r="F70" s="163">
        <f>IF(Consulta!V38="","",Consulta!V38)</f>
        <v>2</v>
      </c>
      <c r="G70" s="13">
        <f t="shared" si="3"/>
        <v>3</v>
      </c>
      <c r="H70" s="13">
        <f t="shared" si="3"/>
        <v>2</v>
      </c>
      <c r="I70" s="262"/>
      <c r="J70" s="220"/>
      <c r="K70" s="116"/>
      <c r="L70" s="116"/>
      <c r="M70" s="130"/>
    </row>
    <row r="71" spans="2:13" ht="18" x14ac:dyDescent="0.35">
      <c r="B71" s="38" t="s">
        <v>34</v>
      </c>
      <c r="C71" s="93"/>
      <c r="D71" s="31"/>
      <c r="E71" s="217" t="s">
        <v>11</v>
      </c>
      <c r="F71" s="217"/>
      <c r="G71" s="261" t="s">
        <v>12</v>
      </c>
      <c r="H71" s="261"/>
      <c r="I71" s="115" t="s">
        <v>13</v>
      </c>
      <c r="J71" s="3" t="s">
        <v>13</v>
      </c>
      <c r="K71" s="121">
        <f>I72</f>
        <v>0.58333333333333337</v>
      </c>
      <c r="L71" s="121">
        <f>J72</f>
        <v>0.41666666666666669</v>
      </c>
      <c r="M71" s="129">
        <f>SUM(K71:L71)/2</f>
        <v>0.5</v>
      </c>
    </row>
    <row r="72" spans="2:13" x14ac:dyDescent="0.3">
      <c r="B72" s="218" t="s">
        <v>35</v>
      </c>
      <c r="C72" s="219"/>
      <c r="D72" s="219"/>
      <c r="E72" s="162">
        <f>IF(Consulta!W37="","",Consulta!W37)</f>
        <v>4</v>
      </c>
      <c r="F72" s="162">
        <f>IF(Consulta!W38="","",Consulta!W38)</f>
        <v>4</v>
      </c>
      <c r="G72" s="13">
        <f t="shared" si="3"/>
        <v>0</v>
      </c>
      <c r="H72" s="13">
        <f t="shared" si="3"/>
        <v>0</v>
      </c>
      <c r="I72" s="242">
        <f>SUM(G72:G74)/12</f>
        <v>0.58333333333333337</v>
      </c>
      <c r="J72" s="198">
        <f>SUM(H72:H74)/12</f>
        <v>0.41666666666666669</v>
      </c>
      <c r="K72" s="116"/>
      <c r="L72" s="116"/>
      <c r="M72" s="130"/>
    </row>
    <row r="73" spans="2:13" x14ac:dyDescent="0.3">
      <c r="B73" s="218" t="s">
        <v>36</v>
      </c>
      <c r="C73" s="219"/>
      <c r="D73" s="219"/>
      <c r="E73" s="162">
        <f>IF(Consulta!X37="","",Consulta!X37)</f>
        <v>0</v>
      </c>
      <c r="F73" s="162">
        <f>IF(Consulta!X38="","",Consulta!X38)</f>
        <v>1</v>
      </c>
      <c r="G73" s="13">
        <f t="shared" si="3"/>
        <v>4</v>
      </c>
      <c r="H73" s="13">
        <f t="shared" si="3"/>
        <v>3</v>
      </c>
      <c r="I73" s="262"/>
      <c r="J73" s="220"/>
      <c r="K73" s="116"/>
      <c r="L73" s="116"/>
      <c r="M73" s="130"/>
    </row>
    <row r="74" spans="2:13" x14ac:dyDescent="0.3">
      <c r="B74" s="218" t="s">
        <v>37</v>
      </c>
      <c r="C74" s="219"/>
      <c r="D74" s="219"/>
      <c r="E74" s="162">
        <f>IF(Consulta!Y37="","",Consulta!Y37)</f>
        <v>1</v>
      </c>
      <c r="F74" s="162">
        <f>IF(Consulta!Y38="","",Consulta!Y38)</f>
        <v>2</v>
      </c>
      <c r="G74" s="13">
        <f t="shared" si="3"/>
        <v>3</v>
      </c>
      <c r="H74" s="13">
        <f t="shared" si="3"/>
        <v>2</v>
      </c>
      <c r="I74" s="220"/>
      <c r="J74" s="220"/>
      <c r="L74" s="112"/>
      <c r="M74" s="133"/>
    </row>
    <row r="75" spans="2:13" ht="31.2" x14ac:dyDescent="0.3">
      <c r="B75" s="1"/>
      <c r="C75" s="1"/>
      <c r="D75" s="244" t="s">
        <v>38</v>
      </c>
      <c r="E75" s="244"/>
      <c r="F75" s="245"/>
      <c r="G75" s="111">
        <f>SUM(G51:G52,G54:G56,G58:G64,G66:G67,G69:G70,G72:G74)</f>
        <v>39</v>
      </c>
      <c r="H75" s="111">
        <f>SUM(H51:H52,H54:H56,H58:H64,H66:H67,H69:H70,H72:H74)</f>
        <v>36</v>
      </c>
      <c r="I75" s="266" t="s">
        <v>40</v>
      </c>
      <c r="J75" s="266"/>
      <c r="K75" s="267" t="s">
        <v>108</v>
      </c>
      <c r="L75" s="267"/>
    </row>
    <row r="76" spans="2:13" ht="33.6" x14ac:dyDescent="0.3">
      <c r="B76" s="2"/>
      <c r="C76" s="2"/>
      <c r="D76" s="264"/>
      <c r="E76" s="265"/>
      <c r="F76" s="265"/>
      <c r="G76" s="123"/>
      <c r="H76" s="123"/>
      <c r="I76" s="122">
        <f>G75/76</f>
        <v>0.51315789473684215</v>
      </c>
      <c r="J76" s="122">
        <f>H75/76</f>
        <v>0.47368421052631576</v>
      </c>
      <c r="K76" s="268">
        <f>SUM(I76:J76)/2</f>
        <v>0.49342105263157898</v>
      </c>
      <c r="L76" s="268"/>
    </row>
    <row r="82" spans="2:9" ht="44.4" customHeight="1" x14ac:dyDescent="0.3">
      <c r="B82" s="252" t="s">
        <v>42</v>
      </c>
      <c r="C82" s="252"/>
      <c r="D82" s="252"/>
      <c r="E82" s="252"/>
      <c r="F82" s="252"/>
      <c r="G82" s="252"/>
      <c r="H82" s="252"/>
      <c r="I82" s="252"/>
    </row>
    <row r="83" spans="2:9" x14ac:dyDescent="0.3">
      <c r="B83" s="9">
        <v>1</v>
      </c>
      <c r="C83" s="9"/>
      <c r="D83" s="8"/>
      <c r="E83" s="8"/>
      <c r="F83" s="8"/>
      <c r="G83" s="37"/>
      <c r="H83" s="37"/>
      <c r="I83" s="25"/>
    </row>
    <row r="84" spans="2:9" x14ac:dyDescent="0.3">
      <c r="B84" s="9">
        <v>2</v>
      </c>
      <c r="C84" s="9"/>
      <c r="D84" s="8"/>
      <c r="E84" s="8"/>
      <c r="F84" s="8"/>
      <c r="G84" s="37"/>
      <c r="H84" s="37"/>
      <c r="I84" s="25"/>
    </row>
    <row r="85" spans="2:9" x14ac:dyDescent="0.3">
      <c r="B85" s="9">
        <v>3</v>
      </c>
      <c r="C85" s="9"/>
      <c r="D85" s="8"/>
      <c r="E85" s="8"/>
      <c r="F85" s="8"/>
      <c r="G85" s="37"/>
      <c r="H85" s="37"/>
      <c r="I85" s="25"/>
    </row>
    <row r="86" spans="2:9" x14ac:dyDescent="0.3">
      <c r="B86" s="9">
        <v>4</v>
      </c>
      <c r="C86" s="9"/>
      <c r="D86" s="8"/>
      <c r="E86" s="8"/>
      <c r="F86" s="8"/>
      <c r="G86" s="37"/>
      <c r="H86" s="37"/>
      <c r="I86" s="25"/>
    </row>
    <row r="87" spans="2:9" x14ac:dyDescent="0.3">
      <c r="B87" s="9">
        <v>5</v>
      </c>
      <c r="C87" s="9"/>
      <c r="D87" s="8"/>
      <c r="E87" s="8"/>
      <c r="F87" s="8"/>
      <c r="G87" s="37"/>
      <c r="H87" s="37"/>
      <c r="I87" s="25"/>
    </row>
    <row r="88" spans="2:9" x14ac:dyDescent="0.3">
      <c r="B88" s="9">
        <v>6</v>
      </c>
      <c r="C88" s="9"/>
      <c r="D88" s="8"/>
      <c r="E88" s="8"/>
      <c r="F88" s="8"/>
      <c r="G88" s="37"/>
      <c r="H88" s="37"/>
      <c r="I88" s="25"/>
    </row>
    <row r="89" spans="2:9" x14ac:dyDescent="0.3">
      <c r="B89" s="9">
        <v>7</v>
      </c>
      <c r="C89" s="9"/>
      <c r="D89" s="8"/>
      <c r="E89" s="8"/>
      <c r="F89" s="8"/>
      <c r="G89" s="37"/>
      <c r="H89" s="37"/>
      <c r="I89" s="25"/>
    </row>
    <row r="90" spans="2:9" x14ac:dyDescent="0.3">
      <c r="B90" s="9">
        <v>8</v>
      </c>
      <c r="C90" s="9"/>
      <c r="D90" s="8"/>
      <c r="E90" s="8"/>
      <c r="F90" s="8"/>
      <c r="G90" s="37"/>
      <c r="H90" s="37"/>
      <c r="I90" s="25"/>
    </row>
    <row r="91" spans="2:9" x14ac:dyDescent="0.3">
      <c r="B91" s="9">
        <v>9</v>
      </c>
      <c r="C91" s="9"/>
      <c r="D91" s="8"/>
      <c r="E91" s="8"/>
      <c r="F91" s="8"/>
      <c r="G91" s="37"/>
      <c r="H91" s="37"/>
      <c r="I91" s="25"/>
    </row>
    <row r="92" spans="2:9" x14ac:dyDescent="0.3">
      <c r="B92" s="9">
        <v>10</v>
      </c>
      <c r="C92" s="9"/>
      <c r="D92" s="8"/>
      <c r="E92" s="8"/>
      <c r="F92" s="8"/>
      <c r="G92" s="37"/>
      <c r="H92" s="37"/>
      <c r="I92" s="25"/>
    </row>
    <row r="93" spans="2:9" x14ac:dyDescent="0.3">
      <c r="B93" s="9">
        <v>11</v>
      </c>
      <c r="C93" s="9"/>
      <c r="D93" s="8"/>
      <c r="E93" s="8"/>
      <c r="F93" s="8"/>
      <c r="G93" s="37"/>
      <c r="H93" s="37"/>
      <c r="I93" s="25"/>
    </row>
    <row r="94" spans="2:9" x14ac:dyDescent="0.3">
      <c r="B94" s="9">
        <v>12</v>
      </c>
      <c r="C94" s="9"/>
      <c r="D94" s="8"/>
      <c r="E94" s="8"/>
      <c r="F94" s="8"/>
      <c r="G94" s="37"/>
      <c r="H94" s="37"/>
      <c r="I94" s="25"/>
    </row>
    <row r="95" spans="2:9" x14ac:dyDescent="0.3">
      <c r="B95" s="9">
        <v>13</v>
      </c>
      <c r="C95" s="9"/>
      <c r="D95" s="8"/>
      <c r="E95" s="8"/>
      <c r="F95" s="8"/>
      <c r="G95" s="37"/>
      <c r="H95" s="37"/>
      <c r="I95" s="25"/>
    </row>
    <row r="96" spans="2:9" x14ac:dyDescent="0.3">
      <c r="B96" s="9">
        <v>14</v>
      </c>
      <c r="C96" s="9"/>
      <c r="D96" s="8"/>
      <c r="E96" s="8"/>
      <c r="F96" s="8"/>
      <c r="G96" s="37"/>
      <c r="H96" s="37"/>
      <c r="I96" s="25"/>
    </row>
    <row r="97" spans="2:9" x14ac:dyDescent="0.3">
      <c r="B97" s="9">
        <v>15</v>
      </c>
      <c r="C97" s="9"/>
      <c r="D97" s="8"/>
      <c r="E97" s="8"/>
      <c r="F97" s="8"/>
      <c r="G97" s="37"/>
      <c r="H97" s="37"/>
      <c r="I97" s="25"/>
    </row>
    <row r="98" spans="2:9" x14ac:dyDescent="0.3">
      <c r="B98" s="9">
        <v>16</v>
      </c>
      <c r="C98" s="9"/>
      <c r="D98" s="8"/>
      <c r="E98" s="8"/>
      <c r="F98" s="8"/>
      <c r="G98" s="37"/>
      <c r="H98" s="37"/>
      <c r="I98" s="25"/>
    </row>
    <row r="99" spans="2:9" x14ac:dyDescent="0.3">
      <c r="B99" s="9">
        <v>17</v>
      </c>
      <c r="C99" s="9"/>
      <c r="D99" s="8"/>
      <c r="E99" s="8"/>
      <c r="F99" s="8"/>
      <c r="G99" s="37"/>
      <c r="H99" s="37"/>
      <c r="I99" s="25"/>
    </row>
    <row r="100" spans="2:9" x14ac:dyDescent="0.3">
      <c r="B100" s="9" t="s">
        <v>43</v>
      </c>
      <c r="C100" s="9"/>
      <c r="D100" s="8"/>
      <c r="E100" s="8"/>
      <c r="F100" s="8"/>
      <c r="G100" s="37"/>
      <c r="H100" s="37"/>
      <c r="I100" s="25"/>
    </row>
    <row r="102" spans="2:9" x14ac:dyDescent="0.3">
      <c r="B102" s="8"/>
      <c r="C102" s="8"/>
      <c r="D102" s="8"/>
      <c r="E102" s="8"/>
      <c r="F102" s="8"/>
      <c r="G102" s="37"/>
      <c r="H102" s="37"/>
      <c r="I102" s="25"/>
    </row>
    <row r="103" spans="2:9" x14ac:dyDescent="0.3">
      <c r="B103" s="8"/>
      <c r="C103" s="8"/>
      <c r="D103" s="8"/>
      <c r="E103" s="8"/>
      <c r="F103" s="8"/>
      <c r="G103" s="37"/>
      <c r="H103" s="37"/>
      <c r="I103" s="25"/>
    </row>
    <row r="104" spans="2:9" x14ac:dyDescent="0.3">
      <c r="B104" s="8"/>
      <c r="C104" s="8"/>
      <c r="D104" s="8"/>
      <c r="E104" s="8"/>
      <c r="F104" s="8"/>
      <c r="G104" s="37"/>
      <c r="H104" s="37"/>
      <c r="I104" s="25"/>
    </row>
    <row r="105" spans="2:9" x14ac:dyDescent="0.3">
      <c r="B105" s="8"/>
      <c r="C105" s="8"/>
      <c r="D105" s="8"/>
      <c r="E105" s="8"/>
      <c r="F105" s="8"/>
      <c r="G105" s="37"/>
      <c r="H105" s="37"/>
      <c r="I105" s="25"/>
    </row>
  </sheetData>
  <dataConsolidate/>
  <mergeCells count="108">
    <mergeCell ref="I75:J75"/>
    <mergeCell ref="K42:L42"/>
    <mergeCell ref="K43:L43"/>
    <mergeCell ref="K75:L75"/>
    <mergeCell ref="K76:L76"/>
    <mergeCell ref="G50:H50"/>
    <mergeCell ref="G57:H57"/>
    <mergeCell ref="G65:H65"/>
    <mergeCell ref="G68:H68"/>
    <mergeCell ref="G71:H71"/>
    <mergeCell ref="I42:J42"/>
    <mergeCell ref="J51:J52"/>
    <mergeCell ref="J54:J56"/>
    <mergeCell ref="J58:J64"/>
    <mergeCell ref="J66:J67"/>
    <mergeCell ref="J69:J70"/>
    <mergeCell ref="J72:J74"/>
    <mergeCell ref="I69:I70"/>
    <mergeCell ref="J18:J19"/>
    <mergeCell ref="J21:J23"/>
    <mergeCell ref="J25:J31"/>
    <mergeCell ref="J33:J34"/>
    <mergeCell ref="J36:J37"/>
    <mergeCell ref="J39:J41"/>
    <mergeCell ref="D75:F75"/>
    <mergeCell ref="D76:F76"/>
    <mergeCell ref="B82:I82"/>
    <mergeCell ref="E53:F53"/>
    <mergeCell ref="B54:D54"/>
    <mergeCell ref="I54:I56"/>
    <mergeCell ref="B55:D55"/>
    <mergeCell ref="B56:D56"/>
    <mergeCell ref="G53:H53"/>
    <mergeCell ref="D43:F43"/>
    <mergeCell ref="B46:B47"/>
    <mergeCell ref="B48:B49"/>
    <mergeCell ref="E50:F50"/>
    <mergeCell ref="B51:D51"/>
    <mergeCell ref="I51:I52"/>
    <mergeCell ref="B52:D52"/>
    <mergeCell ref="E38:F38"/>
    <mergeCell ref="B39:D39"/>
    <mergeCell ref="B63:D63"/>
    <mergeCell ref="B64:D64"/>
    <mergeCell ref="E65:F65"/>
    <mergeCell ref="E57:F57"/>
    <mergeCell ref="B58:D58"/>
    <mergeCell ref="I58:I64"/>
    <mergeCell ref="B59:D59"/>
    <mergeCell ref="B61:D61"/>
    <mergeCell ref="B62:D62"/>
    <mergeCell ref="E71:F71"/>
    <mergeCell ref="B72:D72"/>
    <mergeCell ref="I72:I74"/>
    <mergeCell ref="B73:D73"/>
    <mergeCell ref="B74:D74"/>
    <mergeCell ref="B66:D66"/>
    <mergeCell ref="I66:I67"/>
    <mergeCell ref="B67:D67"/>
    <mergeCell ref="E68:F68"/>
    <mergeCell ref="I39:I41"/>
    <mergeCell ref="B40:D40"/>
    <mergeCell ref="B41:D41"/>
    <mergeCell ref="D42:F42"/>
    <mergeCell ref="G38:H38"/>
    <mergeCell ref="E32:F32"/>
    <mergeCell ref="B33:D33"/>
    <mergeCell ref="I33:I34"/>
    <mergeCell ref="B34:D34"/>
    <mergeCell ref="E35:F35"/>
    <mergeCell ref="I36:I37"/>
    <mergeCell ref="G32:H32"/>
    <mergeCell ref="G35:H35"/>
    <mergeCell ref="E24:F24"/>
    <mergeCell ref="B25:D25"/>
    <mergeCell ref="I25:I31"/>
    <mergeCell ref="B26:D26"/>
    <mergeCell ref="B28:D28"/>
    <mergeCell ref="B29:D29"/>
    <mergeCell ref="B30:D30"/>
    <mergeCell ref="B31:D31"/>
    <mergeCell ref="B18:D18"/>
    <mergeCell ref="I18:I19"/>
    <mergeCell ref="B19:D19"/>
    <mergeCell ref="E20:F20"/>
    <mergeCell ref="B21:D21"/>
    <mergeCell ref="I21:I23"/>
    <mergeCell ref="B22:D22"/>
    <mergeCell ref="B23:D23"/>
    <mergeCell ref="G20:H20"/>
    <mergeCell ref="G24:H24"/>
    <mergeCell ref="U4:AB9"/>
    <mergeCell ref="B12:B13"/>
    <mergeCell ref="D12:F12"/>
    <mergeCell ref="D13:F13"/>
    <mergeCell ref="B14:B15"/>
    <mergeCell ref="D14:F14"/>
    <mergeCell ref="E17:F17"/>
    <mergeCell ref="D1:I7"/>
    <mergeCell ref="B5:B6"/>
    <mergeCell ref="D9:F9"/>
    <mergeCell ref="I9:L9"/>
    <mergeCell ref="D10:F10"/>
    <mergeCell ref="D11:F11"/>
    <mergeCell ref="G17:H17"/>
    <mergeCell ref="K6:Q6"/>
    <mergeCell ref="K2:Q2"/>
    <mergeCell ref="K3:Q3"/>
  </mergeCells>
  <printOptions horizontalCentered="1" verticalCentered="1"/>
  <pageMargins left="0" right="0" top="0" bottom="0" header="0.3" footer="0.3"/>
  <pageSetup scale="90" orientation="landscape" r:id="rId1"/>
  <drawing r:id="rId2"/>
  <legacyDrawing r:id="rId3"/>
  <controls>
    <mc:AlternateContent xmlns:mc="http://schemas.openxmlformats.org/markup-compatibility/2006">
      <mc:Choice Requires="x14">
        <control shapeId="11271" r:id="rId4" name="cmbSemanas">
          <controlPr defaultSize="0" autoLine="0" listFillRange="Semanas!B4:B55" r:id="rId5">
            <anchor moveWithCells="1">
              <from>
                <xdr:col>12</xdr:col>
                <xdr:colOff>220980</xdr:colOff>
                <xdr:row>7</xdr:row>
                <xdr:rowOff>15240</xdr:rowOff>
              </from>
              <to>
                <xdr:col>16</xdr:col>
                <xdr:colOff>297180</xdr:colOff>
                <xdr:row>8</xdr:row>
                <xdr:rowOff>403860</xdr:rowOff>
              </to>
            </anchor>
          </controlPr>
        </control>
      </mc:Choice>
      <mc:Fallback>
        <control shapeId="11271" r:id="rId4" name="cmbSemanas"/>
      </mc:Fallback>
    </mc:AlternateContent>
    <mc:AlternateContent xmlns:mc="http://schemas.openxmlformats.org/markup-compatibility/2006">
      <mc:Choice Requires="x14">
        <control shapeId="11265" r:id="rId6" name="btn_Capturar">
          <controlPr defaultSize="0" autoLine="0" r:id="rId7">
            <anchor moveWithCells="1">
              <from>
                <xdr:col>8</xdr:col>
                <xdr:colOff>205740</xdr:colOff>
                <xdr:row>9</xdr:row>
                <xdr:rowOff>114300</xdr:rowOff>
              </from>
              <to>
                <xdr:col>9</xdr:col>
                <xdr:colOff>822960</xdr:colOff>
                <xdr:row>12</xdr:row>
                <xdr:rowOff>152400</xdr:rowOff>
              </to>
            </anchor>
          </controlPr>
        </control>
      </mc:Choice>
      <mc:Fallback>
        <control shapeId="11265" r:id="rId6" name="btn_Capturar"/>
      </mc:Fallback>
    </mc:AlternateContent>
    <mc:AlternateContent xmlns:mc="http://schemas.openxmlformats.org/markup-compatibility/2006">
      <mc:Choice Requires="x14">
        <control shapeId="11273" r:id="rId8" name="BtnActualizar">
          <controlPr defaultSize="0" autoLine="0" r:id="rId9">
            <anchor moveWithCells="1">
              <from>
                <xdr:col>13</xdr:col>
                <xdr:colOff>121920</xdr:colOff>
                <xdr:row>9</xdr:row>
                <xdr:rowOff>160020</xdr:rowOff>
              </from>
              <to>
                <xdr:col>15</xdr:col>
                <xdr:colOff>411480</xdr:colOff>
                <xdr:row>12</xdr:row>
                <xdr:rowOff>198120</xdr:rowOff>
              </to>
            </anchor>
          </controlPr>
        </control>
      </mc:Choice>
      <mc:Fallback>
        <control shapeId="11273" r:id="rId8" name="BtnActualiza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5:AL38"/>
  <sheetViews>
    <sheetView zoomScale="70" zoomScaleNormal="70" workbookViewId="0">
      <selection activeCell="G1" sqref="G1:Y1048576"/>
    </sheetView>
  </sheetViews>
  <sheetFormatPr defaultRowHeight="14.4" x14ac:dyDescent="0.3"/>
  <cols>
    <col min="2" max="2" width="23.21875" bestFit="1" customWidth="1"/>
    <col min="3" max="3" width="8.5546875" bestFit="1" customWidth="1"/>
    <col min="4" max="4" width="6.5546875" bestFit="1" customWidth="1"/>
    <col min="5" max="5" width="15.6640625" bestFit="1" customWidth="1"/>
    <col min="6" max="6" width="12" bestFit="1" customWidth="1"/>
    <col min="7" max="15" width="8.33203125" bestFit="1" customWidth="1"/>
    <col min="16" max="25" width="9.33203125" bestFit="1" customWidth="1"/>
    <col min="26" max="26" width="5.21875" bestFit="1" customWidth="1"/>
    <col min="27" max="32" width="10.44140625" bestFit="1" customWidth="1"/>
    <col min="33" max="38" width="7.109375" bestFit="1" customWidth="1"/>
  </cols>
  <sheetData>
    <row r="5" spans="2:38" x14ac:dyDescent="0.3">
      <c r="B5" s="134" t="s">
        <v>271</v>
      </c>
      <c r="C5" s="134" t="s">
        <v>258</v>
      </c>
      <c r="D5" s="134" t="s">
        <v>110</v>
      </c>
      <c r="E5" s="134" t="s">
        <v>100</v>
      </c>
      <c r="F5" s="134" t="s">
        <v>111</v>
      </c>
      <c r="G5" s="134" t="s">
        <v>225</v>
      </c>
      <c r="H5" s="143" t="s">
        <v>226</v>
      </c>
      <c r="I5" s="143" t="s">
        <v>227</v>
      </c>
      <c r="J5" s="143" t="s">
        <v>228</v>
      </c>
      <c r="K5" s="143" t="s">
        <v>229</v>
      </c>
      <c r="L5" s="143" t="s">
        <v>230</v>
      </c>
      <c r="M5" s="143" t="s">
        <v>231</v>
      </c>
      <c r="N5" s="143" t="s">
        <v>232</v>
      </c>
      <c r="O5" s="143" t="s">
        <v>233</v>
      </c>
      <c r="P5" s="143" t="s">
        <v>234</v>
      </c>
      <c r="Q5" s="143" t="s">
        <v>235</v>
      </c>
      <c r="R5" s="143" t="s">
        <v>236</v>
      </c>
      <c r="S5" s="143" t="s">
        <v>237</v>
      </c>
      <c r="T5" s="143" t="s">
        <v>238</v>
      </c>
      <c r="U5" s="143" t="s">
        <v>239</v>
      </c>
      <c r="V5" s="143" t="s">
        <v>240</v>
      </c>
      <c r="W5" s="143" t="s">
        <v>241</v>
      </c>
      <c r="X5" s="143" t="s">
        <v>242</v>
      </c>
      <c r="Y5" s="143" t="s">
        <v>243</v>
      </c>
      <c r="Z5" s="147" t="s">
        <v>244</v>
      </c>
      <c r="AA5" s="147" t="s">
        <v>245</v>
      </c>
      <c r="AB5" s="147" t="s">
        <v>246</v>
      </c>
      <c r="AC5" s="147" t="s">
        <v>247</v>
      </c>
      <c r="AD5" s="147" t="s">
        <v>248</v>
      </c>
      <c r="AE5" s="147" t="s">
        <v>249</v>
      </c>
      <c r="AF5" s="147" t="s">
        <v>250</v>
      </c>
      <c r="AG5" s="149" t="s">
        <v>251</v>
      </c>
      <c r="AH5" s="149" t="s">
        <v>252</v>
      </c>
      <c r="AI5" s="149" t="s">
        <v>253</v>
      </c>
      <c r="AJ5" s="149" t="s">
        <v>254</v>
      </c>
      <c r="AK5" s="149" t="s">
        <v>255</v>
      </c>
      <c r="AL5" s="149" t="s">
        <v>256</v>
      </c>
    </row>
    <row r="6" spans="2:38" x14ac:dyDescent="0.3">
      <c r="B6" s="70">
        <f>WEEKNUM(C6)</f>
        <v>31</v>
      </c>
      <c r="C6" s="152">
        <v>45139</v>
      </c>
      <c r="D6" s="70" t="s">
        <v>220</v>
      </c>
      <c r="E6" s="70" t="s">
        <v>96</v>
      </c>
      <c r="F6" s="70">
        <v>1</v>
      </c>
      <c r="G6" s="70">
        <v>1</v>
      </c>
      <c r="H6" s="144">
        <v>0</v>
      </c>
      <c r="I6" s="144">
        <v>3</v>
      </c>
      <c r="J6" s="144">
        <v>4</v>
      </c>
      <c r="K6" s="144">
        <v>1</v>
      </c>
      <c r="L6" s="144">
        <v>4</v>
      </c>
      <c r="M6" s="144">
        <v>1</v>
      </c>
      <c r="N6" s="144">
        <v>2</v>
      </c>
      <c r="O6" s="144">
        <v>1</v>
      </c>
      <c r="P6" s="144">
        <v>1</v>
      </c>
      <c r="Q6" s="144">
        <v>1</v>
      </c>
      <c r="R6" s="144">
        <v>0</v>
      </c>
      <c r="S6" s="144">
        <v>0</v>
      </c>
      <c r="T6" s="144">
        <v>2</v>
      </c>
      <c r="U6" s="144">
        <v>3</v>
      </c>
      <c r="V6" s="144">
        <v>4</v>
      </c>
      <c r="W6" s="144">
        <v>0</v>
      </c>
      <c r="X6" s="144">
        <v>1</v>
      </c>
      <c r="Y6" s="144">
        <v>1</v>
      </c>
      <c r="Z6" s="151">
        <f>SUM(G6:Y6)</f>
        <v>30</v>
      </c>
      <c r="AA6" s="87">
        <f>SUM(G6:H6)</f>
        <v>1</v>
      </c>
      <c r="AB6" s="148">
        <f>SUM(I6:K6)</f>
        <v>8</v>
      </c>
      <c r="AC6" s="148">
        <f>SUM(L6:R6)</f>
        <v>10</v>
      </c>
      <c r="AD6" s="87">
        <v>2</v>
      </c>
      <c r="AE6" s="148">
        <f>SUM(S6:T6)</f>
        <v>2</v>
      </c>
      <c r="AF6" s="148">
        <f>SUM(X6:Y6)</f>
        <v>2</v>
      </c>
      <c r="AG6" s="150">
        <f>AA6/$Z$6</f>
        <v>3.3333333333333333E-2</v>
      </c>
      <c r="AH6" s="150">
        <f t="shared" ref="AH6:AL7" si="0">AB6/$Z$6</f>
        <v>0.26666666666666666</v>
      </c>
      <c r="AI6" s="150">
        <f t="shared" si="0"/>
        <v>0.33333333333333331</v>
      </c>
      <c r="AJ6" s="150">
        <f t="shared" si="0"/>
        <v>6.6666666666666666E-2</v>
      </c>
      <c r="AK6" s="150">
        <f t="shared" si="0"/>
        <v>6.6666666666666666E-2</v>
      </c>
      <c r="AL6" s="150">
        <f t="shared" si="0"/>
        <v>6.6666666666666666E-2</v>
      </c>
    </row>
    <row r="7" spans="2:38" x14ac:dyDescent="0.3">
      <c r="B7" s="70">
        <f>WEEKNUM(C7)</f>
        <v>31</v>
      </c>
      <c r="C7" s="152">
        <v>45142</v>
      </c>
      <c r="D7" s="70" t="s">
        <v>221</v>
      </c>
      <c r="E7" s="70" t="s">
        <v>96</v>
      </c>
      <c r="F7" s="70">
        <v>2</v>
      </c>
      <c r="G7" s="70">
        <v>2</v>
      </c>
      <c r="H7" s="144">
        <v>1</v>
      </c>
      <c r="I7" s="144">
        <v>2</v>
      </c>
      <c r="J7" s="144">
        <v>1</v>
      </c>
      <c r="K7" s="144">
        <v>0</v>
      </c>
      <c r="L7" s="144">
        <v>1</v>
      </c>
      <c r="M7" s="144">
        <v>3</v>
      </c>
      <c r="N7" s="144">
        <v>3</v>
      </c>
      <c r="O7" s="144">
        <v>1</v>
      </c>
      <c r="P7" s="144">
        <v>0</v>
      </c>
      <c r="Q7" s="144">
        <v>1</v>
      </c>
      <c r="R7" s="144">
        <v>1</v>
      </c>
      <c r="S7" s="144">
        <v>2</v>
      </c>
      <c r="T7" s="144">
        <v>3</v>
      </c>
      <c r="U7" s="144">
        <v>3</v>
      </c>
      <c r="V7" s="144">
        <v>4</v>
      </c>
      <c r="W7" s="144">
        <v>3</v>
      </c>
      <c r="X7" s="144">
        <v>0</v>
      </c>
      <c r="Y7" s="144">
        <v>3</v>
      </c>
      <c r="Z7" s="151">
        <f t="shared" ref="Z7" si="1">SUM(G7:Y7)</f>
        <v>34</v>
      </c>
      <c r="AA7" s="87">
        <f t="shared" ref="AA7" si="2">SUM(G7:H7)</f>
        <v>3</v>
      </c>
      <c r="AB7" s="148">
        <f t="shared" ref="AB7" si="3">SUM(I7:K7)</f>
        <v>3</v>
      </c>
      <c r="AC7" s="148">
        <f t="shared" ref="AC7" si="4">SUM(L7:R7)</f>
        <v>10</v>
      </c>
      <c r="AD7" s="87">
        <v>3</v>
      </c>
      <c r="AE7" s="148">
        <f t="shared" ref="AE7" si="5">SUM(S7:T7)</f>
        <v>5</v>
      </c>
      <c r="AF7" s="148">
        <f t="shared" ref="AF7" si="6">SUM(X7:Y7)</f>
        <v>3</v>
      </c>
      <c r="AG7" s="150">
        <f t="shared" ref="AG7" si="7">AA7/$Z$6</f>
        <v>0.1</v>
      </c>
      <c r="AH7" s="150">
        <f t="shared" si="0"/>
        <v>0.1</v>
      </c>
      <c r="AI7" s="150">
        <f t="shared" si="0"/>
        <v>0.33333333333333331</v>
      </c>
      <c r="AJ7" s="150">
        <f t="shared" si="0"/>
        <v>0.1</v>
      </c>
      <c r="AK7" s="150">
        <f t="shared" si="0"/>
        <v>0.16666666666666666</v>
      </c>
      <c r="AL7" s="150">
        <f t="shared" si="0"/>
        <v>0.1</v>
      </c>
    </row>
    <row r="36" spans="2:38" x14ac:dyDescent="0.3">
      <c r="B36" s="134" t="s">
        <v>109</v>
      </c>
      <c r="C36" s="134" t="s">
        <v>258</v>
      </c>
      <c r="D36" s="134" t="s">
        <v>110</v>
      </c>
      <c r="E36" s="134" t="s">
        <v>100</v>
      </c>
      <c r="F36" s="134" t="s">
        <v>111</v>
      </c>
      <c r="G36" s="134" t="s">
        <v>225</v>
      </c>
      <c r="H36" s="143" t="s">
        <v>226</v>
      </c>
      <c r="I36" s="143" t="s">
        <v>227</v>
      </c>
      <c r="J36" s="143" t="s">
        <v>228</v>
      </c>
      <c r="K36" s="143" t="s">
        <v>229</v>
      </c>
      <c r="L36" s="143" t="s">
        <v>230</v>
      </c>
      <c r="M36" s="143" t="s">
        <v>231</v>
      </c>
      <c r="N36" s="143" t="s">
        <v>232</v>
      </c>
      <c r="O36" s="143" t="s">
        <v>233</v>
      </c>
      <c r="P36" s="143" t="s">
        <v>234</v>
      </c>
      <c r="Q36" s="143" t="s">
        <v>235</v>
      </c>
      <c r="R36" s="143" t="s">
        <v>236</v>
      </c>
      <c r="S36" s="143" t="s">
        <v>237</v>
      </c>
      <c r="T36" s="143" t="s">
        <v>238</v>
      </c>
      <c r="U36" s="143" t="s">
        <v>239</v>
      </c>
      <c r="V36" s="143" t="s">
        <v>240</v>
      </c>
      <c r="W36" s="143" t="s">
        <v>241</v>
      </c>
      <c r="X36" s="143" t="s">
        <v>242</v>
      </c>
      <c r="Y36" s="143" t="s">
        <v>243</v>
      </c>
      <c r="Z36" s="147" t="s">
        <v>244</v>
      </c>
      <c r="AA36" s="147" t="s">
        <v>245</v>
      </c>
      <c r="AB36" s="147" t="s">
        <v>246</v>
      </c>
      <c r="AC36" s="147" t="s">
        <v>247</v>
      </c>
      <c r="AD36" s="147" t="s">
        <v>248</v>
      </c>
      <c r="AE36" s="147" t="s">
        <v>249</v>
      </c>
      <c r="AF36" s="147" t="s">
        <v>250</v>
      </c>
      <c r="AG36" s="149" t="s">
        <v>251</v>
      </c>
      <c r="AH36" s="149" t="s">
        <v>252</v>
      </c>
      <c r="AI36" s="149" t="s">
        <v>253</v>
      </c>
      <c r="AJ36" s="149" t="s">
        <v>254</v>
      </c>
      <c r="AK36" s="149" t="s">
        <v>255</v>
      </c>
      <c r="AL36" s="149" t="s">
        <v>256</v>
      </c>
    </row>
    <row r="37" spans="2:38" x14ac:dyDescent="0.3">
      <c r="B37" s="70">
        <f t="shared" ref="B37:B38" si="8">WEEKNUM(C37)</f>
        <v>31</v>
      </c>
      <c r="C37" s="152">
        <v>45139</v>
      </c>
      <c r="D37" s="70" t="s">
        <v>222</v>
      </c>
      <c r="E37" s="70" t="s">
        <v>223</v>
      </c>
      <c r="F37" s="70">
        <v>3</v>
      </c>
      <c r="G37" s="70">
        <v>3</v>
      </c>
      <c r="H37" s="144">
        <v>4</v>
      </c>
      <c r="I37" s="144">
        <v>3</v>
      </c>
      <c r="J37" s="144">
        <v>1</v>
      </c>
      <c r="K37" s="144">
        <v>2</v>
      </c>
      <c r="L37" s="144">
        <v>0</v>
      </c>
      <c r="M37" s="144">
        <v>2</v>
      </c>
      <c r="N37" s="144">
        <v>4</v>
      </c>
      <c r="O37" s="144">
        <v>0</v>
      </c>
      <c r="P37" s="144">
        <v>3</v>
      </c>
      <c r="Q37" s="144">
        <v>2</v>
      </c>
      <c r="R37" s="144">
        <v>3</v>
      </c>
      <c r="S37" s="144">
        <v>2</v>
      </c>
      <c r="T37" s="144">
        <v>0</v>
      </c>
      <c r="U37" s="144">
        <v>2</v>
      </c>
      <c r="V37" s="144">
        <v>1</v>
      </c>
      <c r="W37" s="144">
        <v>4</v>
      </c>
      <c r="X37" s="144">
        <v>0</v>
      </c>
      <c r="Y37" s="144">
        <v>1</v>
      </c>
      <c r="Z37" s="151">
        <f t="shared" ref="Z37:Z38" si="9">SUM(G37:Y37)</f>
        <v>37</v>
      </c>
      <c r="AA37" s="87">
        <f t="shared" ref="AA37:AA38" si="10">SUM(G37:H37)</f>
        <v>7</v>
      </c>
      <c r="AB37" s="148">
        <f t="shared" ref="AB37:AB38" si="11">SUM(I37:K37)</f>
        <v>6</v>
      </c>
      <c r="AC37" s="148">
        <f t="shared" ref="AC37:AC38" si="12">SUM(L37:R37)</f>
        <v>14</v>
      </c>
      <c r="AD37" s="87">
        <v>4</v>
      </c>
      <c r="AE37" s="148">
        <f t="shared" ref="AE37:AE38" si="13">SUM(S37:T37)</f>
        <v>2</v>
      </c>
      <c r="AF37" s="148">
        <f t="shared" ref="AF37:AF38" si="14">SUM(X37:Y37)</f>
        <v>1</v>
      </c>
      <c r="AG37" s="150">
        <f t="shared" ref="AG37:AG38" si="15">AA37/$Z$6</f>
        <v>0.23333333333333334</v>
      </c>
      <c r="AH37" s="150">
        <f t="shared" ref="AH37:AH38" si="16">AB37/$Z$6</f>
        <v>0.2</v>
      </c>
      <c r="AI37" s="150">
        <f t="shared" ref="AI37:AI38" si="17">AC37/$Z$6</f>
        <v>0.46666666666666667</v>
      </c>
      <c r="AJ37" s="150">
        <f t="shared" ref="AJ37:AJ38" si="18">AD37/$Z$6</f>
        <v>0.13333333333333333</v>
      </c>
      <c r="AK37" s="150">
        <f t="shared" ref="AK37:AK38" si="19">AE37/$Z$6</f>
        <v>6.6666666666666666E-2</v>
      </c>
      <c r="AL37" s="150">
        <f t="shared" ref="AL37:AL38" si="20">AF37/$Z$6</f>
        <v>3.3333333333333333E-2</v>
      </c>
    </row>
    <row r="38" spans="2:38" x14ac:dyDescent="0.3">
      <c r="B38" s="70">
        <f t="shared" si="8"/>
        <v>31</v>
      </c>
      <c r="C38" s="152">
        <v>45142</v>
      </c>
      <c r="D38" s="70" t="s">
        <v>224</v>
      </c>
      <c r="E38" s="70" t="s">
        <v>223</v>
      </c>
      <c r="F38" s="70">
        <v>4</v>
      </c>
      <c r="G38" s="70">
        <v>3</v>
      </c>
      <c r="H38" s="144">
        <v>1</v>
      </c>
      <c r="I38" s="144">
        <v>3</v>
      </c>
      <c r="J38" s="144">
        <v>2</v>
      </c>
      <c r="K38" s="144">
        <v>0</v>
      </c>
      <c r="L38" s="144">
        <v>3</v>
      </c>
      <c r="M38" s="144">
        <v>2</v>
      </c>
      <c r="N38" s="144">
        <v>4</v>
      </c>
      <c r="O38" s="144">
        <v>3</v>
      </c>
      <c r="P38" s="144">
        <v>1</v>
      </c>
      <c r="Q38" s="144">
        <v>2</v>
      </c>
      <c r="R38" s="144">
        <v>4</v>
      </c>
      <c r="S38" s="144">
        <v>1</v>
      </c>
      <c r="T38" s="144">
        <v>2</v>
      </c>
      <c r="U38" s="144">
        <v>0</v>
      </c>
      <c r="V38" s="144">
        <v>2</v>
      </c>
      <c r="W38" s="144">
        <v>4</v>
      </c>
      <c r="X38" s="144">
        <v>1</v>
      </c>
      <c r="Y38" s="144">
        <v>2</v>
      </c>
      <c r="Z38" s="151">
        <f t="shared" si="9"/>
        <v>40</v>
      </c>
      <c r="AA38" s="87">
        <f t="shared" si="10"/>
        <v>4</v>
      </c>
      <c r="AB38" s="148">
        <f t="shared" si="11"/>
        <v>5</v>
      </c>
      <c r="AC38" s="148">
        <f t="shared" si="12"/>
        <v>19</v>
      </c>
      <c r="AD38" s="87">
        <v>5</v>
      </c>
      <c r="AE38" s="148">
        <f t="shared" si="13"/>
        <v>3</v>
      </c>
      <c r="AF38" s="148">
        <f t="shared" si="14"/>
        <v>3</v>
      </c>
      <c r="AG38" s="150">
        <f t="shared" si="15"/>
        <v>0.13333333333333333</v>
      </c>
      <c r="AH38" s="150">
        <f t="shared" si="16"/>
        <v>0.16666666666666666</v>
      </c>
      <c r="AI38" s="150">
        <f t="shared" si="17"/>
        <v>0.6333333333333333</v>
      </c>
      <c r="AJ38" s="150">
        <f t="shared" si="18"/>
        <v>0.16666666666666666</v>
      </c>
      <c r="AK38" s="150">
        <f t="shared" si="19"/>
        <v>0.1</v>
      </c>
      <c r="AL38" s="150">
        <f t="shared" si="20"/>
        <v>0.1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4:G47"/>
  <sheetViews>
    <sheetView zoomScale="85" zoomScaleNormal="85" workbookViewId="0">
      <selection activeCell="H27" sqref="H27"/>
    </sheetView>
  </sheetViews>
  <sheetFormatPr defaultColWidth="5.6640625" defaultRowHeight="14.4" x14ac:dyDescent="0.3"/>
  <cols>
    <col min="3" max="3" width="11" bestFit="1" customWidth="1"/>
    <col min="4" max="4" width="76.109375" bestFit="1" customWidth="1"/>
    <col min="5" max="5" width="11.44140625" customWidth="1"/>
    <col min="6" max="6" width="9.77734375" style="128" customWidth="1"/>
    <col min="7" max="7" width="11.77734375" style="128" customWidth="1"/>
    <col min="8" max="8" width="12.5546875" customWidth="1"/>
  </cols>
  <sheetData>
    <row r="4" spans="3:7" x14ac:dyDescent="0.3">
      <c r="C4" s="167" t="s">
        <v>56</v>
      </c>
      <c r="D4" s="164" t="s">
        <v>10</v>
      </c>
      <c r="E4" s="164" t="s">
        <v>262</v>
      </c>
      <c r="F4" s="171" t="s">
        <v>57</v>
      </c>
      <c r="G4" s="177" t="s">
        <v>58</v>
      </c>
    </row>
    <row r="5" spans="3:7" x14ac:dyDescent="0.3">
      <c r="C5" s="166" t="s">
        <v>16</v>
      </c>
      <c r="D5" s="56" t="s">
        <v>91</v>
      </c>
      <c r="E5" s="162">
        <f>IF(Consulta!$J$6="","",Consulta!$J$6)</f>
        <v>4</v>
      </c>
      <c r="F5" s="172">
        <f>Table4[[#This Row],[Aud1]]/Table4[[#Totals],[Aud1]]</f>
        <v>0.13333333333333333</v>
      </c>
      <c r="G5" s="176">
        <f>IF(ROW()-ROW(Table4[#All])=1,Table4[[#This Row],[%]],Table4[[#This Row],[%]]+G4)</f>
        <v>0.13333333333333333</v>
      </c>
    </row>
    <row r="6" spans="3:7" x14ac:dyDescent="0.3">
      <c r="C6" s="166" t="s">
        <v>20</v>
      </c>
      <c r="D6" s="71" t="s">
        <v>267</v>
      </c>
      <c r="E6" s="162">
        <f>IF(Consulta!$L$6="","",Consulta!$L$6)</f>
        <v>4</v>
      </c>
      <c r="F6" s="172">
        <f>Table4[[#This Row],[Aud1]]/Table4[[#Totals],[Aud1]]</f>
        <v>0.13333333333333333</v>
      </c>
      <c r="G6" s="176">
        <f>IF(ROW()-ROW(Table4[#All])=1,Table4[[#This Row],[%]],Table4[[#This Row],[%]]+G5)</f>
        <v>0.26666666666666666</v>
      </c>
    </row>
    <row r="7" spans="3:7" x14ac:dyDescent="0.3">
      <c r="C7" s="166" t="s">
        <v>31</v>
      </c>
      <c r="D7" s="71" t="s">
        <v>79</v>
      </c>
      <c r="E7" s="163">
        <f>IF(Consulta!$V$6="","",Consulta!$V$6)</f>
        <v>4</v>
      </c>
      <c r="F7" s="173">
        <f>Table4[[#This Row],[Aud1]]/Table4[[#Totals],[Aud1]]</f>
        <v>0.13333333333333333</v>
      </c>
      <c r="G7" s="176">
        <f>IF(ROW()-ROW(Table4[#All])=1,Table4[[#This Row],[%]],Table4[[#This Row],[%]]+G6)</f>
        <v>0.4</v>
      </c>
    </row>
    <row r="8" spans="3:7" x14ac:dyDescent="0.3">
      <c r="C8" s="166" t="s">
        <v>16</v>
      </c>
      <c r="D8" s="56" t="s">
        <v>266</v>
      </c>
      <c r="E8" s="162">
        <f>IF(Consulta!$I$6="","",Consulta!$I$6)</f>
        <v>3</v>
      </c>
      <c r="F8" s="172">
        <f>Table4[[#This Row],[Aud1]]/Table4[[#Totals],[Aud1]]</f>
        <v>0.1</v>
      </c>
      <c r="G8" s="176">
        <f>IF(ROW()-ROW(Table4[#All])=1,Table4[[#This Row],[%]],Table4[[#This Row],[%]]+G7)</f>
        <v>0.5</v>
      </c>
    </row>
    <row r="9" spans="3:7" x14ac:dyDescent="0.3">
      <c r="C9" s="166" t="s">
        <v>31</v>
      </c>
      <c r="D9" s="71" t="s">
        <v>79</v>
      </c>
      <c r="E9" s="163">
        <f>IF(Consulta!$U$6="","",Consulta!$U$6)</f>
        <v>3</v>
      </c>
      <c r="F9" s="173">
        <f>Table4[[#This Row],[Aud1]]/Table4[[#Totals],[Aud1]]</f>
        <v>0.1</v>
      </c>
      <c r="G9" s="176">
        <f>IF(ROW()-ROW(Table4[#All])=1,Table4[[#This Row],[%]],Table4[[#This Row],[%]]+G8)</f>
        <v>0.6</v>
      </c>
    </row>
    <row r="10" spans="3:7" x14ac:dyDescent="0.3">
      <c r="C10" s="166" t="s">
        <v>20</v>
      </c>
      <c r="D10" s="71" t="s">
        <v>71</v>
      </c>
      <c r="E10" s="162">
        <f>IF(Consulta!$N$6="","",Consulta!$N$6)</f>
        <v>2</v>
      </c>
      <c r="F10" s="172">
        <f>Table4[[#This Row],[Aud1]]/Table4[[#Totals],[Aud1]]</f>
        <v>6.6666666666666666E-2</v>
      </c>
      <c r="G10" s="176">
        <f>IF(ROW()-ROW(Table4[#All])=1,Table4[[#This Row],[%]],Table4[[#This Row],[%]]+G9)</f>
        <v>0.66666666666666663</v>
      </c>
    </row>
    <row r="11" spans="3:7" x14ac:dyDescent="0.3">
      <c r="C11" s="166" t="s">
        <v>28</v>
      </c>
      <c r="D11" s="71" t="s">
        <v>78</v>
      </c>
      <c r="E11" s="162">
        <f>IF(Consulta!$T$6="","",Consulta!$T$6)</f>
        <v>2</v>
      </c>
      <c r="F11" s="172">
        <f>Table4[[#This Row],[Aud1]]/Table4[[#Totals],[Aud1]]</f>
        <v>6.6666666666666666E-2</v>
      </c>
      <c r="G11" s="176">
        <f>IF(ROW()-ROW(Table4[#All])=1,Table4[[#This Row],[%]],Table4[[#This Row],[%]]+G10)</f>
        <v>0.73333333333333328</v>
      </c>
    </row>
    <row r="12" spans="3:7" x14ac:dyDescent="0.3">
      <c r="C12" s="166" t="s">
        <v>10</v>
      </c>
      <c r="D12" s="71" t="s">
        <v>66</v>
      </c>
      <c r="E12" s="110">
        <f>IF(Consulta!$G$6="","",Consulta!$G$6)</f>
        <v>1</v>
      </c>
      <c r="F12" s="174">
        <f>Table4[[#This Row],[Aud1]]/Table4[[#Totals],[Aud1]]</f>
        <v>3.3333333333333333E-2</v>
      </c>
      <c r="G12" s="176">
        <f>IF(ROW()-ROW(Table4[#All])=1,Table4[[#This Row],[%]],Table4[[#This Row],[%]]+G11)</f>
        <v>0.76666666666666661</v>
      </c>
    </row>
    <row r="13" spans="3:7" x14ac:dyDescent="0.3">
      <c r="C13" s="166" t="s">
        <v>16</v>
      </c>
      <c r="D13" s="71" t="s">
        <v>85</v>
      </c>
      <c r="E13" s="162">
        <f>IF(Consulta!$K$6="","",Consulta!$K$6)</f>
        <v>1</v>
      </c>
      <c r="F13" s="172">
        <f>Table4[[#This Row],[Aud1]]/Table4[[#Totals],[Aud1]]</f>
        <v>3.3333333333333333E-2</v>
      </c>
      <c r="G13" s="176">
        <f>IF(ROW()-ROW(Table4[#All])=1,Table4[[#This Row],[%]],Table4[[#This Row],[%]]+G12)</f>
        <v>0.79999999999999993</v>
      </c>
    </row>
    <row r="14" spans="3:7" x14ac:dyDescent="0.3">
      <c r="C14" s="166" t="s">
        <v>20</v>
      </c>
      <c r="D14" s="71" t="s">
        <v>59</v>
      </c>
      <c r="E14" s="162">
        <f>IF(Consulta!$M$6="","",Consulta!$M$6)</f>
        <v>1</v>
      </c>
      <c r="F14" s="172">
        <f>Table4[[#This Row],[Aud1]]/Table4[[#Totals],[Aud1]]</f>
        <v>3.3333333333333333E-2</v>
      </c>
      <c r="G14" s="176">
        <f>IF(ROW()-ROW(Table4[#All])=1,Table4[[#This Row],[%]],Table4[[#This Row],[%]]+G13)</f>
        <v>0.83333333333333326</v>
      </c>
    </row>
    <row r="15" spans="3:7" x14ac:dyDescent="0.3">
      <c r="C15" s="166" t="s">
        <v>20</v>
      </c>
      <c r="D15" s="71" t="s">
        <v>268</v>
      </c>
      <c r="E15" s="162">
        <f>IF(Consulta!$O$6="","",Consulta!$O$6)</f>
        <v>1</v>
      </c>
      <c r="F15" s="172">
        <f>Table4[[#This Row],[Aud1]]/Table4[[#Totals],[Aud1]]</f>
        <v>3.3333333333333333E-2</v>
      </c>
      <c r="G15" s="176">
        <f>IF(ROW()-ROW(Table4[#All])=1,Table4[[#This Row],[%]],Table4[[#This Row],[%]]+G14)</f>
        <v>0.86666666666666659</v>
      </c>
    </row>
    <row r="16" spans="3:7" ht="14.4" customHeight="1" x14ac:dyDescent="0.3">
      <c r="C16" s="166" t="s">
        <v>20</v>
      </c>
      <c r="D16" s="71" t="s">
        <v>69</v>
      </c>
      <c r="E16" s="162">
        <f>IF(Consulta!$P$6="","",Consulta!$P$6)</f>
        <v>1</v>
      </c>
      <c r="F16" s="172">
        <f>Table4[[#This Row],[Aud1]]/Table4[[#Totals],[Aud1]]</f>
        <v>3.3333333333333333E-2</v>
      </c>
      <c r="G16" s="176">
        <f>IF(ROW()-ROW(Table4[#All])=1,Table4[[#This Row],[%]],Table4[[#This Row],[%]]+G15)</f>
        <v>0.89999999999999991</v>
      </c>
    </row>
    <row r="17" spans="3:7" x14ac:dyDescent="0.3">
      <c r="C17" s="166" t="s">
        <v>20</v>
      </c>
      <c r="D17" s="71" t="s">
        <v>62</v>
      </c>
      <c r="E17" s="162">
        <f>IF(Consulta!$Q$6="","",Consulta!$Q$6)</f>
        <v>1</v>
      </c>
      <c r="F17" s="172">
        <f>Table4[[#This Row],[Aud1]]/Table4[[#Totals],[Aud1]]</f>
        <v>3.3333333333333333E-2</v>
      </c>
      <c r="G17" s="176">
        <f>IF(ROW()-ROW(Table4[#All])=1,Table4[[#This Row],[%]],Table4[[#This Row],[%]]+G16)</f>
        <v>0.93333333333333324</v>
      </c>
    </row>
    <row r="18" spans="3:7" x14ac:dyDescent="0.3">
      <c r="C18" s="166" t="s">
        <v>34</v>
      </c>
      <c r="D18" s="56" t="s">
        <v>83</v>
      </c>
      <c r="E18" s="162">
        <f>IF(Consulta!$X$6="","",Consulta!$X$6)</f>
        <v>1</v>
      </c>
      <c r="F18" s="172">
        <f>Table4[[#This Row],[Aud1]]/Table4[[#Totals],[Aud1]]</f>
        <v>3.3333333333333333E-2</v>
      </c>
      <c r="G18" s="176">
        <f>IF(ROW()-ROW(Table4[#All])=1,Table4[[#This Row],[%]],Table4[[#This Row],[%]]+G17)</f>
        <v>0.96666666666666656</v>
      </c>
    </row>
    <row r="19" spans="3:7" x14ac:dyDescent="0.3">
      <c r="C19" s="166" t="s">
        <v>34</v>
      </c>
      <c r="D19" s="56" t="s">
        <v>84</v>
      </c>
      <c r="E19" s="162">
        <f>IF(Consulta!$Y$6="","",Consulta!$Y$6)</f>
        <v>1</v>
      </c>
      <c r="F19" s="172">
        <f>Table4[[#This Row],[Aud1]]/Table4[[#Totals],[Aud1]]</f>
        <v>3.3333333333333333E-2</v>
      </c>
      <c r="G19" s="176">
        <f>IF(ROW()-ROW(Table4[#All])=1,Table4[[#This Row],[%]],Table4[[#This Row],[%]]+G18)</f>
        <v>0.99999999999999989</v>
      </c>
    </row>
    <row r="20" spans="3:7" x14ac:dyDescent="0.3">
      <c r="C20" s="166" t="s">
        <v>10</v>
      </c>
      <c r="D20" s="71" t="s">
        <v>265</v>
      </c>
      <c r="E20" s="161">
        <f>IF(Consulta!$H$6="","",Consulta!$H$6)</f>
        <v>0</v>
      </c>
      <c r="F20" s="174">
        <f>Table4[[#This Row],[Aud1]]/Table4[[#Totals],[Aud1]]</f>
        <v>0</v>
      </c>
      <c r="G20" s="176">
        <f>IF(ROW()-ROW(Table4[#All])=1,Table4[[#This Row],[%]],Table4[[#This Row],[%]]+G19)</f>
        <v>0.99999999999999989</v>
      </c>
    </row>
    <row r="21" spans="3:7" ht="27.6" x14ac:dyDescent="0.3">
      <c r="C21" s="166" t="s">
        <v>20</v>
      </c>
      <c r="D21" s="165" t="s">
        <v>86</v>
      </c>
      <c r="E21" s="162">
        <f>IF(Consulta!$R$6="","",Consulta!$R$6)</f>
        <v>0</v>
      </c>
      <c r="F21" s="172">
        <f>Table4[[#This Row],[Aud1]]/Table4[[#Totals],[Aud1]]</f>
        <v>0</v>
      </c>
      <c r="G21" s="176">
        <f>IF(ROW()-ROW(Table4[#All])=1,Table4[[#This Row],[%]],Table4[[#This Row],[%]]+G20)</f>
        <v>0.99999999999999989</v>
      </c>
    </row>
    <row r="22" spans="3:7" x14ac:dyDescent="0.3">
      <c r="C22" s="166" t="s">
        <v>28</v>
      </c>
      <c r="D22" s="71" t="s">
        <v>63</v>
      </c>
      <c r="E22" s="162">
        <f>IF(Consulta!$S$6="","",Consulta!$S$6)</f>
        <v>0</v>
      </c>
      <c r="F22" s="172">
        <f>Table4[[#This Row],[Aud1]]/Table4[[#Totals],[Aud1]]</f>
        <v>0</v>
      </c>
      <c r="G22" s="176">
        <f>IF(ROW()-ROW(Table4[#All])=1,Table4[[#This Row],[%]],Table4[[#This Row],[%]]+G21)</f>
        <v>0.99999999999999989</v>
      </c>
    </row>
    <row r="23" spans="3:7" ht="14.4" customHeight="1" x14ac:dyDescent="0.3">
      <c r="C23" s="168" t="s">
        <v>34</v>
      </c>
      <c r="D23" s="169" t="s">
        <v>81</v>
      </c>
      <c r="E23" s="170">
        <f>IF(Consulta!$W$6="","",Consulta!$W$6)</f>
        <v>0</v>
      </c>
      <c r="F23" s="175">
        <f>Table4[[#This Row],[Aud1]]/Table4[[#Totals],[Aud1]]</f>
        <v>0</v>
      </c>
      <c r="G23" s="178">
        <f>IF(ROW()-ROW(Table4[#All])=1,Table4[[#This Row],[%]],Table4[[#This Row],[%]]+G22)</f>
        <v>0.99999999999999989</v>
      </c>
    </row>
    <row r="24" spans="3:7" x14ac:dyDescent="0.3">
      <c r="C24" s="168"/>
      <c r="D24" s="169"/>
      <c r="E24" s="170">
        <f>SUM(Table4[Aud1])</f>
        <v>30</v>
      </c>
      <c r="F24" s="175"/>
      <c r="G24" s="178"/>
    </row>
    <row r="27" spans="3:7" x14ac:dyDescent="0.3">
      <c r="C27" s="167" t="s">
        <v>56</v>
      </c>
      <c r="D27" s="164" t="s">
        <v>10</v>
      </c>
      <c r="E27" s="164" t="s">
        <v>263</v>
      </c>
      <c r="F27" s="171" t="s">
        <v>57</v>
      </c>
      <c r="G27" s="177" t="s">
        <v>58</v>
      </c>
    </row>
    <row r="28" spans="3:7" x14ac:dyDescent="0.3">
      <c r="C28" s="166" t="s">
        <v>31</v>
      </c>
      <c r="D28" s="71" t="s">
        <v>79</v>
      </c>
      <c r="E28" s="163">
        <f>IF(Consulta!$V$7="","",Consulta!$V$7)</f>
        <v>4</v>
      </c>
      <c r="F28" s="173">
        <f>Table46[[#This Row],[Aud2]]/Table46[[#Totals],[Aud2]]</f>
        <v>0.11764705882352941</v>
      </c>
      <c r="G28" s="176">
        <f>IF(ROW()-ROW(Table46[#All])=1,Table46[[#This Row],[%]],Table46[[#This Row],[%]]+G4)</f>
        <v>0.11764705882352941</v>
      </c>
    </row>
    <row r="29" spans="3:7" x14ac:dyDescent="0.3">
      <c r="C29" s="166" t="s">
        <v>20</v>
      </c>
      <c r="D29" s="71" t="s">
        <v>59</v>
      </c>
      <c r="E29" s="162">
        <f>IF(Consulta!$M$7="","",Consulta!$M$7)</f>
        <v>3</v>
      </c>
      <c r="F29" s="172">
        <f>Table46[[#This Row],[Aud2]]/Table46[[#Totals],[Aud2]]</f>
        <v>8.8235294117647065E-2</v>
      </c>
      <c r="G29" s="176">
        <f>IF(ROW()-ROW(Table46[#All])=1,Table46[[#This Row],[%]],Table46[[#This Row],[%]]+G5)</f>
        <v>0.22156862745098038</v>
      </c>
    </row>
    <row r="30" spans="3:7" x14ac:dyDescent="0.3">
      <c r="C30" s="166" t="s">
        <v>20</v>
      </c>
      <c r="D30" s="71" t="s">
        <v>71</v>
      </c>
      <c r="E30" s="162">
        <f>IF(Consulta!$N$7="","",Consulta!$N$7)</f>
        <v>3</v>
      </c>
      <c r="F30" s="172">
        <f>Table46[[#This Row],[Aud2]]/Table46[[#Totals],[Aud2]]</f>
        <v>8.8235294117647065E-2</v>
      </c>
      <c r="G30" s="176">
        <f>IF(ROW()-ROW(Table46[#All])=1,Table46[[#This Row],[%]],Table46[[#This Row],[%]]+G6)</f>
        <v>0.35490196078431374</v>
      </c>
    </row>
    <row r="31" spans="3:7" x14ac:dyDescent="0.3">
      <c r="C31" s="166" t="s">
        <v>28</v>
      </c>
      <c r="D31" s="71" t="s">
        <v>78</v>
      </c>
      <c r="E31" s="162">
        <f>IF(Consulta!$T$7="","",Consulta!$T$7)</f>
        <v>3</v>
      </c>
      <c r="F31" s="172">
        <f>Table46[[#This Row],[Aud2]]/Table46[[#Totals],[Aud2]]</f>
        <v>8.8235294117647065E-2</v>
      </c>
      <c r="G31" s="176">
        <f>IF(ROW()-ROW(Table46[#All])=1,Table46[[#This Row],[%]],Table46[[#This Row],[%]]+G7)</f>
        <v>0.4882352941176471</v>
      </c>
    </row>
    <row r="32" spans="3:7" x14ac:dyDescent="0.3">
      <c r="C32" s="166" t="s">
        <v>31</v>
      </c>
      <c r="D32" s="71" t="s">
        <v>79</v>
      </c>
      <c r="E32" s="163">
        <f>IF(Consulta!$U$7="","",Consulta!$U$7)</f>
        <v>3</v>
      </c>
      <c r="F32" s="173">
        <f>Table46[[#This Row],[Aud2]]/Table46[[#Totals],[Aud2]]</f>
        <v>8.8235294117647065E-2</v>
      </c>
      <c r="G32" s="176">
        <f>IF(ROW()-ROW(Table46[#All])=1,Table46[[#This Row],[%]],Table46[[#This Row],[%]]+G8)</f>
        <v>0.58823529411764708</v>
      </c>
    </row>
    <row r="33" spans="3:7" x14ac:dyDescent="0.3">
      <c r="C33" s="166" t="s">
        <v>34</v>
      </c>
      <c r="D33" s="56" t="s">
        <v>81</v>
      </c>
      <c r="E33" s="162">
        <f>IF(Consulta!$W$7="","",Consulta!$W$7)</f>
        <v>3</v>
      </c>
      <c r="F33" s="172">
        <f>Table46[[#This Row],[Aud2]]/Table46[[#Totals],[Aud2]]</f>
        <v>8.8235294117647065E-2</v>
      </c>
      <c r="G33" s="176">
        <f>IF(ROW()-ROW(Table46[#All])=1,Table46[[#This Row],[%]],Table46[[#This Row],[%]]+G9)</f>
        <v>0.68823529411764706</v>
      </c>
    </row>
    <row r="34" spans="3:7" x14ac:dyDescent="0.3">
      <c r="C34" s="166" t="s">
        <v>34</v>
      </c>
      <c r="D34" s="56" t="s">
        <v>84</v>
      </c>
      <c r="E34" s="162">
        <f>IF(Consulta!$Y$7="","",Consulta!$Y$7)</f>
        <v>3</v>
      </c>
      <c r="F34" s="172">
        <f>Table46[[#This Row],[Aud2]]/Table46[[#Totals],[Aud2]]</f>
        <v>8.8235294117647065E-2</v>
      </c>
      <c r="G34" s="176">
        <f>IF(ROW()-ROW(Table46[#All])=1,Table46[[#This Row],[%]],Table46[[#This Row],[%]]+G10)</f>
        <v>0.75490196078431371</v>
      </c>
    </row>
    <row r="35" spans="3:7" x14ac:dyDescent="0.3">
      <c r="C35" s="166" t="s">
        <v>10</v>
      </c>
      <c r="D35" s="71" t="s">
        <v>66</v>
      </c>
      <c r="E35" s="110">
        <f>IF(Consulta!$G$7="","",Consulta!$G$7)</f>
        <v>2</v>
      </c>
      <c r="F35" s="174">
        <f>Table46[[#This Row],[Aud2]]/Table46[[#Totals],[Aud2]]</f>
        <v>5.8823529411764705E-2</v>
      </c>
      <c r="G35" s="176">
        <f>IF(ROW()-ROW(Table46[#All])=1,Table46[[#This Row],[%]],Table46[[#This Row],[%]]+G11)</f>
        <v>0.792156862745098</v>
      </c>
    </row>
    <row r="36" spans="3:7" x14ac:dyDescent="0.3">
      <c r="C36" s="166" t="s">
        <v>16</v>
      </c>
      <c r="D36" s="56" t="s">
        <v>266</v>
      </c>
      <c r="E36" s="162">
        <f>IF(Consulta!$I$7="","",Consulta!$I$7)</f>
        <v>2</v>
      </c>
      <c r="F36" s="172">
        <f>Table46[[#This Row],[Aud2]]/Table46[[#Totals],[Aud2]]</f>
        <v>5.8823529411764705E-2</v>
      </c>
      <c r="G36" s="176">
        <f>IF(ROW()-ROW(Table46[#All])=1,Table46[[#This Row],[%]],Table46[[#This Row],[%]]+G12)</f>
        <v>0.82549019607843133</v>
      </c>
    </row>
    <row r="37" spans="3:7" x14ac:dyDescent="0.3">
      <c r="C37" s="166" t="s">
        <v>28</v>
      </c>
      <c r="D37" s="71" t="s">
        <v>63</v>
      </c>
      <c r="E37" s="162">
        <f>IF(Consulta!$S$7="","",Consulta!$S$7)</f>
        <v>2</v>
      </c>
      <c r="F37" s="172">
        <f>Table46[[#This Row],[Aud2]]/Table46[[#Totals],[Aud2]]</f>
        <v>5.8823529411764705E-2</v>
      </c>
      <c r="G37" s="176">
        <f>IF(ROW()-ROW(Table46[#All])=1,Table46[[#This Row],[%]],Table46[[#This Row],[%]]+G13)</f>
        <v>0.85882352941176465</v>
      </c>
    </row>
    <row r="38" spans="3:7" x14ac:dyDescent="0.3">
      <c r="C38" s="166" t="s">
        <v>10</v>
      </c>
      <c r="D38" s="71" t="s">
        <v>265</v>
      </c>
      <c r="E38" s="161">
        <f>IF(Consulta!$H$7="","",Consulta!$H$7)</f>
        <v>1</v>
      </c>
      <c r="F38" s="174">
        <f>Table46[[#This Row],[Aud2]]/Table46[[#Totals],[Aud2]]</f>
        <v>2.9411764705882353E-2</v>
      </c>
      <c r="G38" s="176">
        <f>IF(ROW()-ROW(Table46[#All])=1,Table46[[#This Row],[%]],Table46[[#This Row],[%]]+G14)</f>
        <v>0.86274509803921562</v>
      </c>
    </row>
    <row r="39" spans="3:7" x14ac:dyDescent="0.3">
      <c r="C39" s="166" t="s">
        <v>16</v>
      </c>
      <c r="D39" s="56" t="s">
        <v>91</v>
      </c>
      <c r="E39" s="162">
        <f>IF(Consulta!$J$7="","",Consulta!$J$7)</f>
        <v>1</v>
      </c>
      <c r="F39" s="172">
        <f>Table46[[#This Row],[Aud2]]/Table46[[#Totals],[Aud2]]</f>
        <v>2.9411764705882353E-2</v>
      </c>
      <c r="G39" s="176">
        <f>IF(ROW()-ROW(Table46[#All])=1,Table46[[#This Row],[%]],Table46[[#This Row],[%]]+G15)</f>
        <v>0.89607843137254894</v>
      </c>
    </row>
    <row r="40" spans="3:7" x14ac:dyDescent="0.3">
      <c r="C40" s="166" t="s">
        <v>20</v>
      </c>
      <c r="D40" s="71" t="s">
        <v>267</v>
      </c>
      <c r="E40" s="162">
        <f>IF(Consulta!$L$7="","",Consulta!$L$7)</f>
        <v>1</v>
      </c>
      <c r="F40" s="172">
        <f>Table46[[#This Row],[Aud2]]/Table46[[#Totals],[Aud2]]</f>
        <v>2.9411764705882353E-2</v>
      </c>
      <c r="G40" s="176">
        <f>IF(ROW()-ROW(Table46[#All])=1,Table46[[#This Row],[%]],Table46[[#This Row],[%]]+G16)</f>
        <v>0.92941176470588227</v>
      </c>
    </row>
    <row r="41" spans="3:7" x14ac:dyDescent="0.3">
      <c r="C41" s="166" t="s">
        <v>20</v>
      </c>
      <c r="D41" s="71" t="s">
        <v>268</v>
      </c>
      <c r="E41" s="162">
        <f>IF(Consulta!$O$7="","",Consulta!$O$7)</f>
        <v>1</v>
      </c>
      <c r="F41" s="172">
        <f>Table46[[#This Row],[Aud2]]/Table46[[#Totals],[Aud2]]</f>
        <v>2.9411764705882353E-2</v>
      </c>
      <c r="G41" s="176">
        <f>IF(ROW()-ROW(Table46[#All])=1,Table46[[#This Row],[%]],Table46[[#This Row],[%]]+G17)</f>
        <v>0.9627450980392156</v>
      </c>
    </row>
    <row r="42" spans="3:7" x14ac:dyDescent="0.3">
      <c r="C42" s="166" t="s">
        <v>20</v>
      </c>
      <c r="D42" s="71" t="s">
        <v>62</v>
      </c>
      <c r="E42" s="162">
        <f>IF(Consulta!$Q$7="","",Consulta!$Q$7)</f>
        <v>1</v>
      </c>
      <c r="F42" s="172">
        <f>Table46[[#This Row],[Aud2]]/Table46[[#Totals],[Aud2]]</f>
        <v>2.9411764705882353E-2</v>
      </c>
      <c r="G42" s="176">
        <f>IF(ROW()-ROW(Table46[#All])=1,Table46[[#This Row],[%]],Table46[[#This Row],[%]]+G18)</f>
        <v>0.99607843137254892</v>
      </c>
    </row>
    <row r="43" spans="3:7" ht="27.6" x14ac:dyDescent="0.3">
      <c r="C43" s="166" t="s">
        <v>20</v>
      </c>
      <c r="D43" s="165" t="s">
        <v>86</v>
      </c>
      <c r="E43" s="162">
        <f>IF(Consulta!$R$7="","",Consulta!$R$7)</f>
        <v>1</v>
      </c>
      <c r="F43" s="172">
        <f>Table46[[#This Row],[Aud2]]/Table46[[#Totals],[Aud2]]</f>
        <v>2.9411764705882353E-2</v>
      </c>
      <c r="G43" s="176">
        <f>IF(ROW()-ROW(Table46[#All])=1,Table46[[#This Row],[%]],Table46[[#This Row],[%]]+G19)</f>
        <v>1.0294117647058822</v>
      </c>
    </row>
    <row r="44" spans="3:7" x14ac:dyDescent="0.3">
      <c r="C44" s="166" t="s">
        <v>16</v>
      </c>
      <c r="D44" s="71" t="s">
        <v>85</v>
      </c>
      <c r="E44" s="162">
        <f>IF(Consulta!$K$7="","",Consulta!$K$7)</f>
        <v>0</v>
      </c>
      <c r="F44" s="172">
        <f>Table46[[#This Row],[Aud2]]/Table46[[#Totals],[Aud2]]</f>
        <v>0</v>
      </c>
      <c r="G44" s="176">
        <f>IF(ROW()-ROW(Table46[#All])=1,Table46[[#This Row],[%]],Table46[[#This Row],[%]]+G20)</f>
        <v>0.99999999999999989</v>
      </c>
    </row>
    <row r="45" spans="3:7" x14ac:dyDescent="0.3">
      <c r="C45" s="166" t="s">
        <v>20</v>
      </c>
      <c r="D45" s="71" t="s">
        <v>69</v>
      </c>
      <c r="E45" s="162">
        <f>IF(Consulta!$P$7="","",Consulta!$P$7)</f>
        <v>0</v>
      </c>
      <c r="F45" s="172">
        <f>Table46[[#This Row],[Aud2]]/Table46[[#Totals],[Aud2]]</f>
        <v>0</v>
      </c>
      <c r="G45" s="176">
        <f>IF(ROW()-ROW(Table46[#All])=1,Table46[[#This Row],[%]],Table46[[#This Row],[%]]+G21)</f>
        <v>0.99999999999999989</v>
      </c>
    </row>
    <row r="46" spans="3:7" x14ac:dyDescent="0.3">
      <c r="C46" s="168" t="s">
        <v>34</v>
      </c>
      <c r="D46" s="169" t="s">
        <v>83</v>
      </c>
      <c r="E46" s="170">
        <f>IF(Consulta!$X$7="","",Consulta!$X$7)</f>
        <v>0</v>
      </c>
      <c r="F46" s="175">
        <f>Table46[[#This Row],[Aud2]]/Table46[[#Totals],[Aud2]]</f>
        <v>0</v>
      </c>
      <c r="G46" s="178">
        <f>IF(ROW()-ROW(Table46[#All])=1,Table46[[#This Row],[%]],Table46[[#This Row],[%]]+G22)</f>
        <v>0.99999999999999989</v>
      </c>
    </row>
    <row r="47" spans="3:7" x14ac:dyDescent="0.3">
      <c r="C47" s="168"/>
      <c r="D47" s="169"/>
      <c r="E47" s="170">
        <f>SUM(Table46[Aud2])</f>
        <v>34</v>
      </c>
      <c r="F47" s="175"/>
      <c r="G47" s="17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C20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</cols>
  <sheetData>
    <row r="3" spans="1:3" x14ac:dyDescent="0.3">
      <c r="A3" s="182"/>
      <c r="B3" s="183"/>
      <c r="C3" s="184"/>
    </row>
    <row r="4" spans="1:3" x14ac:dyDescent="0.3">
      <c r="A4" s="185"/>
      <c r="B4" s="186"/>
      <c r="C4" s="187"/>
    </row>
    <row r="5" spans="1:3" x14ac:dyDescent="0.3">
      <c r="A5" s="185"/>
      <c r="B5" s="186"/>
      <c r="C5" s="187"/>
    </row>
    <row r="6" spans="1:3" x14ac:dyDescent="0.3">
      <c r="A6" s="185"/>
      <c r="B6" s="186"/>
      <c r="C6" s="187"/>
    </row>
    <row r="7" spans="1:3" x14ac:dyDescent="0.3">
      <c r="A7" s="185"/>
      <c r="B7" s="186"/>
      <c r="C7" s="187"/>
    </row>
    <row r="8" spans="1:3" x14ac:dyDescent="0.3">
      <c r="A8" s="185"/>
      <c r="B8" s="186"/>
      <c r="C8" s="187"/>
    </row>
    <row r="9" spans="1:3" x14ac:dyDescent="0.3">
      <c r="A9" s="185"/>
      <c r="B9" s="186"/>
      <c r="C9" s="187"/>
    </row>
    <row r="10" spans="1:3" x14ac:dyDescent="0.3">
      <c r="A10" s="185"/>
      <c r="B10" s="186"/>
      <c r="C10" s="187"/>
    </row>
    <row r="11" spans="1:3" x14ac:dyDescent="0.3">
      <c r="A11" s="185"/>
      <c r="B11" s="186"/>
      <c r="C11" s="187"/>
    </row>
    <row r="12" spans="1:3" x14ac:dyDescent="0.3">
      <c r="A12" s="185"/>
      <c r="B12" s="186"/>
      <c r="C12" s="187"/>
    </row>
    <row r="13" spans="1:3" x14ac:dyDescent="0.3">
      <c r="A13" s="185"/>
      <c r="B13" s="186"/>
      <c r="C13" s="187"/>
    </row>
    <row r="14" spans="1:3" x14ac:dyDescent="0.3">
      <c r="A14" s="185"/>
      <c r="B14" s="186"/>
      <c r="C14" s="187"/>
    </row>
    <row r="15" spans="1:3" x14ac:dyDescent="0.3">
      <c r="A15" s="185"/>
      <c r="B15" s="186"/>
      <c r="C15" s="187"/>
    </row>
    <row r="16" spans="1:3" x14ac:dyDescent="0.3">
      <c r="A16" s="185"/>
      <c r="B16" s="186"/>
      <c r="C16" s="187"/>
    </row>
    <row r="17" spans="1:3" x14ac:dyDescent="0.3">
      <c r="A17" s="185"/>
      <c r="B17" s="186"/>
      <c r="C17" s="187"/>
    </row>
    <row r="18" spans="1:3" x14ac:dyDescent="0.3">
      <c r="A18" s="185"/>
      <c r="B18" s="186"/>
      <c r="C18" s="187"/>
    </row>
    <row r="19" spans="1:3" x14ac:dyDescent="0.3">
      <c r="A19" s="185"/>
      <c r="B19" s="186"/>
      <c r="C19" s="187"/>
    </row>
    <row r="20" spans="1:3" x14ac:dyDescent="0.3">
      <c r="A20" s="188"/>
      <c r="B20" s="189"/>
      <c r="C20" s="19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AM16"/>
  <sheetViews>
    <sheetView workbookViewId="0">
      <selection activeCell="G21" sqref="G21"/>
    </sheetView>
  </sheetViews>
  <sheetFormatPr defaultRowHeight="14.4" x14ac:dyDescent="0.3"/>
  <cols>
    <col min="1" max="1" width="8.88671875" style="59"/>
    <col min="2" max="2" width="7.77734375" style="59" bestFit="1" customWidth="1"/>
    <col min="3" max="3" width="7.77734375" style="59" customWidth="1"/>
    <col min="4" max="4" width="8.5546875" style="59" bestFit="1" customWidth="1"/>
    <col min="5" max="5" width="13.21875" style="59" customWidth="1"/>
    <col min="6" max="6" width="15.6640625" style="59" bestFit="1" customWidth="1"/>
    <col min="7" max="7" width="12" style="59" bestFit="1" customWidth="1"/>
    <col min="8" max="16" width="8.33203125" style="59" bestFit="1" customWidth="1"/>
    <col min="17" max="26" width="9.33203125" style="59" bestFit="1" customWidth="1"/>
    <col min="27" max="27" width="5.21875" style="59" bestFit="1" customWidth="1"/>
    <col min="28" max="33" width="10.44140625" style="59" bestFit="1" customWidth="1"/>
    <col min="34" max="39" width="7.109375" style="59" bestFit="1" customWidth="1"/>
    <col min="40" max="16384" width="8.88671875" style="59"/>
  </cols>
  <sheetData>
    <row r="1" spans="2:39" x14ac:dyDescent="0.3">
      <c r="C1" s="59" t="s">
        <v>285</v>
      </c>
      <c r="D1" s="196">
        <v>45078</v>
      </c>
    </row>
    <row r="2" spans="2:39" x14ac:dyDescent="0.3">
      <c r="C2" s="59" t="s">
        <v>286</v>
      </c>
      <c r="D2" s="196">
        <v>45145</v>
      </c>
    </row>
    <row r="4" spans="2:39" x14ac:dyDescent="0.3">
      <c r="B4" s="134" t="s">
        <v>109</v>
      </c>
      <c r="C4" s="134" t="s">
        <v>272</v>
      </c>
      <c r="D4" s="134" t="s">
        <v>258</v>
      </c>
      <c r="E4" s="134" t="s">
        <v>110</v>
      </c>
      <c r="F4" s="134" t="s">
        <v>100</v>
      </c>
      <c r="G4" s="134" t="s">
        <v>111</v>
      </c>
      <c r="H4" s="134" t="s">
        <v>225</v>
      </c>
      <c r="I4" s="143" t="s">
        <v>226</v>
      </c>
      <c r="J4" s="143" t="s">
        <v>227</v>
      </c>
      <c r="K4" s="143" t="s">
        <v>228</v>
      </c>
      <c r="L4" s="143" t="s">
        <v>229</v>
      </c>
      <c r="M4" s="143" t="s">
        <v>230</v>
      </c>
      <c r="N4" s="143" t="s">
        <v>231</v>
      </c>
      <c r="O4" s="143" t="s">
        <v>232</v>
      </c>
      <c r="P4" s="143" t="s">
        <v>233</v>
      </c>
      <c r="Q4" s="143" t="s">
        <v>234</v>
      </c>
      <c r="R4" s="143" t="s">
        <v>235</v>
      </c>
      <c r="S4" s="143" t="s">
        <v>236</v>
      </c>
      <c r="T4" s="143" t="s">
        <v>237</v>
      </c>
      <c r="U4" s="143" t="s">
        <v>238</v>
      </c>
      <c r="V4" s="143" t="s">
        <v>239</v>
      </c>
      <c r="W4" s="143" t="s">
        <v>240</v>
      </c>
      <c r="X4" s="143" t="s">
        <v>241</v>
      </c>
      <c r="Y4" s="143" t="s">
        <v>242</v>
      </c>
      <c r="Z4" s="143" t="s">
        <v>243</v>
      </c>
      <c r="AA4" s="147" t="s">
        <v>244</v>
      </c>
      <c r="AB4" s="147" t="s">
        <v>245</v>
      </c>
      <c r="AC4" s="147" t="s">
        <v>246</v>
      </c>
      <c r="AD4" s="147" t="s">
        <v>247</v>
      </c>
      <c r="AE4" s="147" t="s">
        <v>248</v>
      </c>
      <c r="AF4" s="147" t="s">
        <v>249</v>
      </c>
      <c r="AG4" s="147" t="s">
        <v>250</v>
      </c>
      <c r="AH4" s="149" t="s">
        <v>251</v>
      </c>
      <c r="AI4" s="149" t="s">
        <v>252</v>
      </c>
      <c r="AJ4" s="149" t="s">
        <v>253</v>
      </c>
      <c r="AK4" s="149" t="s">
        <v>254</v>
      </c>
      <c r="AL4" s="149" t="s">
        <v>255</v>
      </c>
      <c r="AM4" s="149" t="s">
        <v>256</v>
      </c>
    </row>
    <row r="5" spans="2:39" x14ac:dyDescent="0.3">
      <c r="B5" s="70">
        <f t="shared" ref="B5:B6" si="0">WEEKNUM(D5)</f>
        <v>31</v>
      </c>
      <c r="C5" s="70">
        <v>1</v>
      </c>
      <c r="D5" s="152">
        <v>45139</v>
      </c>
      <c r="E5" s="70" t="s">
        <v>222</v>
      </c>
      <c r="F5" s="70" t="s">
        <v>223</v>
      </c>
      <c r="G5" s="70">
        <v>1</v>
      </c>
      <c r="H5" s="70">
        <v>3</v>
      </c>
      <c r="I5" s="144">
        <v>4</v>
      </c>
      <c r="J5" s="144">
        <v>3</v>
      </c>
      <c r="K5" s="144">
        <v>1</v>
      </c>
      <c r="L5" s="144">
        <v>2</v>
      </c>
      <c r="M5" s="144">
        <v>0</v>
      </c>
      <c r="N5" s="144">
        <v>2</v>
      </c>
      <c r="O5" s="144">
        <v>4</v>
      </c>
      <c r="P5" s="144">
        <v>0</v>
      </c>
      <c r="Q5" s="144">
        <v>3</v>
      </c>
      <c r="R5" s="144">
        <v>2</v>
      </c>
      <c r="S5" s="144">
        <v>3</v>
      </c>
      <c r="T5" s="144">
        <v>2</v>
      </c>
      <c r="U5" s="144">
        <v>0</v>
      </c>
      <c r="V5" s="144">
        <v>2</v>
      </c>
      <c r="W5" s="144">
        <v>1</v>
      </c>
      <c r="X5" s="144">
        <v>4</v>
      </c>
      <c r="Y5" s="144">
        <v>0</v>
      </c>
      <c r="Z5" s="144">
        <v>1</v>
      </c>
      <c r="AA5" s="151">
        <f t="shared" ref="AA5:AA6" si="1">SUM(H5:Z5)</f>
        <v>37</v>
      </c>
      <c r="AB5" s="70">
        <f t="shared" ref="AB5:AB6" si="2">SUM(H5:I5)</f>
        <v>7</v>
      </c>
      <c r="AC5" s="144">
        <f t="shared" ref="AC5:AC6" si="3">SUM(J5:L5)</f>
        <v>6</v>
      </c>
      <c r="AD5" s="144">
        <f t="shared" ref="AD5:AD6" si="4">SUM(M5:S5)</f>
        <v>14</v>
      </c>
      <c r="AE5" s="70">
        <v>4</v>
      </c>
      <c r="AF5" s="144">
        <f t="shared" ref="AF5:AF6" si="5">SUM(T5:U5)</f>
        <v>2</v>
      </c>
      <c r="AG5" s="144">
        <f t="shared" ref="AG5:AG6" si="6">SUM(Y5:Z5)</f>
        <v>1</v>
      </c>
      <c r="AH5" s="73">
        <f t="shared" ref="AH5:AM6" si="7">AB5/$AA$6</f>
        <v>0.17499999999999999</v>
      </c>
      <c r="AI5" s="73">
        <f t="shared" si="7"/>
        <v>0.15</v>
      </c>
      <c r="AJ5" s="73">
        <f t="shared" si="7"/>
        <v>0.35</v>
      </c>
      <c r="AK5" s="73">
        <f t="shared" si="7"/>
        <v>0.1</v>
      </c>
      <c r="AL5" s="73">
        <f t="shared" si="7"/>
        <v>0.05</v>
      </c>
      <c r="AM5" s="73">
        <f t="shared" si="7"/>
        <v>2.5000000000000001E-2</v>
      </c>
    </row>
    <row r="6" spans="2:39" x14ac:dyDescent="0.3">
      <c r="B6" s="70">
        <f t="shared" si="0"/>
        <v>31</v>
      </c>
      <c r="C6" s="70">
        <v>1</v>
      </c>
      <c r="D6" s="152">
        <v>45139</v>
      </c>
      <c r="E6" s="70" t="s">
        <v>224</v>
      </c>
      <c r="F6" s="70" t="s">
        <v>223</v>
      </c>
      <c r="G6" s="70">
        <v>2</v>
      </c>
      <c r="H6" s="70">
        <v>3</v>
      </c>
      <c r="I6" s="144">
        <v>1</v>
      </c>
      <c r="J6" s="144">
        <v>3</v>
      </c>
      <c r="K6" s="144">
        <v>2</v>
      </c>
      <c r="L6" s="144">
        <v>0</v>
      </c>
      <c r="M6" s="144">
        <v>3</v>
      </c>
      <c r="N6" s="144">
        <v>2</v>
      </c>
      <c r="O6" s="144">
        <v>4</v>
      </c>
      <c r="P6" s="144">
        <v>3</v>
      </c>
      <c r="Q6" s="144">
        <v>1</v>
      </c>
      <c r="R6" s="144">
        <v>2</v>
      </c>
      <c r="S6" s="144">
        <v>4</v>
      </c>
      <c r="T6" s="144">
        <v>1</v>
      </c>
      <c r="U6" s="144">
        <v>2</v>
      </c>
      <c r="V6" s="144">
        <v>0</v>
      </c>
      <c r="W6" s="144">
        <v>2</v>
      </c>
      <c r="X6" s="144">
        <v>4</v>
      </c>
      <c r="Y6" s="144">
        <v>1</v>
      </c>
      <c r="Z6" s="144">
        <v>2</v>
      </c>
      <c r="AA6" s="151">
        <f t="shared" si="1"/>
        <v>40</v>
      </c>
      <c r="AB6" s="70">
        <f t="shared" si="2"/>
        <v>4</v>
      </c>
      <c r="AC6" s="144">
        <f t="shared" si="3"/>
        <v>5</v>
      </c>
      <c r="AD6" s="144">
        <f t="shared" si="4"/>
        <v>19</v>
      </c>
      <c r="AE6" s="70">
        <v>5</v>
      </c>
      <c r="AF6" s="144">
        <f t="shared" si="5"/>
        <v>3</v>
      </c>
      <c r="AG6" s="144">
        <f t="shared" si="6"/>
        <v>3</v>
      </c>
      <c r="AH6" s="73">
        <f t="shared" si="7"/>
        <v>0.1</v>
      </c>
      <c r="AI6" s="73">
        <f t="shared" si="7"/>
        <v>0.125</v>
      </c>
      <c r="AJ6" s="73">
        <f t="shared" si="7"/>
        <v>0.47499999999999998</v>
      </c>
      <c r="AK6" s="73">
        <f t="shared" si="7"/>
        <v>0.125</v>
      </c>
      <c r="AL6" s="73">
        <f t="shared" si="7"/>
        <v>7.4999999999999997E-2</v>
      </c>
      <c r="AM6" s="73">
        <f t="shared" si="7"/>
        <v>7.4999999999999997E-2</v>
      </c>
    </row>
    <row r="7" spans="2:39" x14ac:dyDescent="0.3">
      <c r="B7" s="70">
        <v>31</v>
      </c>
      <c r="C7" s="70">
        <v>2</v>
      </c>
      <c r="D7" s="152">
        <v>45142</v>
      </c>
      <c r="E7" s="70" t="s">
        <v>222</v>
      </c>
      <c r="F7" s="70" t="s">
        <v>223</v>
      </c>
      <c r="G7" s="70">
        <v>3</v>
      </c>
      <c r="H7" s="70">
        <v>3</v>
      </c>
      <c r="I7" s="70">
        <v>3</v>
      </c>
      <c r="J7" s="70">
        <v>1</v>
      </c>
      <c r="K7" s="70">
        <v>4</v>
      </c>
      <c r="L7" s="70">
        <v>3</v>
      </c>
      <c r="M7" s="70">
        <v>2</v>
      </c>
      <c r="N7" s="70">
        <v>1</v>
      </c>
      <c r="O7" s="70">
        <v>3</v>
      </c>
      <c r="P7" s="70">
        <v>4</v>
      </c>
      <c r="Q7" s="70">
        <v>1</v>
      </c>
      <c r="R7" s="70">
        <v>1</v>
      </c>
      <c r="S7" s="70">
        <v>1</v>
      </c>
      <c r="T7" s="70">
        <v>3</v>
      </c>
      <c r="U7" s="70">
        <v>4</v>
      </c>
      <c r="V7" s="70">
        <v>4</v>
      </c>
      <c r="W7" s="70">
        <v>1</v>
      </c>
      <c r="X7" s="70">
        <v>4</v>
      </c>
      <c r="Y7" s="70">
        <v>3</v>
      </c>
      <c r="Z7" s="70">
        <v>3</v>
      </c>
      <c r="AA7" s="151">
        <f t="shared" ref="AA7:AA8" si="8">SUM(H7:Z7)</f>
        <v>49</v>
      </c>
      <c r="AB7" s="70">
        <f t="shared" ref="AB7:AB8" si="9">SUM(H7:I7)</f>
        <v>6</v>
      </c>
      <c r="AC7" s="144">
        <f t="shared" ref="AC7:AC8" si="10">SUM(J7:L7)</f>
        <v>8</v>
      </c>
      <c r="AD7" s="144">
        <f t="shared" ref="AD7:AD8" si="11">SUM(M7:S7)</f>
        <v>13</v>
      </c>
      <c r="AE7" s="70">
        <v>4</v>
      </c>
      <c r="AF7" s="144">
        <f t="shared" ref="AF7:AF8" si="12">SUM(T7:U7)</f>
        <v>7</v>
      </c>
      <c r="AG7" s="144">
        <f t="shared" ref="AG7:AG8" si="13">SUM(Y7:Z7)</f>
        <v>6</v>
      </c>
      <c r="AH7" s="73">
        <f t="shared" ref="AH7:AH8" si="14">AB7/$AA$6</f>
        <v>0.15</v>
      </c>
      <c r="AI7" s="73">
        <f t="shared" ref="AI7:AM12" si="15">AC7/$AA$6</f>
        <v>0.2</v>
      </c>
      <c r="AJ7" s="73">
        <f t="shared" ref="AJ7:AJ8" si="16">AD7/$AA$6</f>
        <v>0.32500000000000001</v>
      </c>
      <c r="AK7" s="73">
        <f t="shared" ref="AK7:AK8" si="17">AE7/$AA$6</f>
        <v>0.1</v>
      </c>
      <c r="AL7" s="73">
        <f t="shared" ref="AL7:AL8" si="18">AF7/$AA$6</f>
        <v>0.17499999999999999</v>
      </c>
      <c r="AM7" s="73">
        <f t="shared" ref="AM7:AM8" si="19">AG7/$AA$6</f>
        <v>0.15</v>
      </c>
    </row>
    <row r="8" spans="2:39" x14ac:dyDescent="0.3">
      <c r="B8" s="70">
        <v>31</v>
      </c>
      <c r="C8" s="70">
        <v>2</v>
      </c>
      <c r="D8" s="152">
        <v>45142</v>
      </c>
      <c r="E8" s="70" t="s">
        <v>224</v>
      </c>
      <c r="F8" s="70" t="s">
        <v>223</v>
      </c>
      <c r="G8" s="70">
        <v>4</v>
      </c>
      <c r="H8" s="70">
        <v>2</v>
      </c>
      <c r="I8" s="70">
        <v>3</v>
      </c>
      <c r="J8" s="70">
        <v>3</v>
      </c>
      <c r="K8" s="70">
        <v>3</v>
      </c>
      <c r="L8" s="70">
        <v>4</v>
      </c>
      <c r="M8" s="70">
        <v>2</v>
      </c>
      <c r="N8" s="70">
        <v>2</v>
      </c>
      <c r="O8" s="70">
        <v>1</v>
      </c>
      <c r="P8" s="70">
        <v>1</v>
      </c>
      <c r="Q8" s="70">
        <v>1</v>
      </c>
      <c r="R8" s="70">
        <v>3</v>
      </c>
      <c r="S8" s="70">
        <v>1</v>
      </c>
      <c r="T8" s="70">
        <v>3</v>
      </c>
      <c r="U8" s="70">
        <v>2</v>
      </c>
      <c r="V8" s="70">
        <v>4</v>
      </c>
      <c r="W8" s="70">
        <v>1</v>
      </c>
      <c r="X8" s="70">
        <v>3</v>
      </c>
      <c r="Y8" s="70">
        <v>4</v>
      </c>
      <c r="Z8" s="70">
        <v>1</v>
      </c>
      <c r="AA8" s="151">
        <f t="shared" si="8"/>
        <v>44</v>
      </c>
      <c r="AB8" s="70">
        <f t="shared" si="9"/>
        <v>5</v>
      </c>
      <c r="AC8" s="144">
        <f t="shared" si="10"/>
        <v>10</v>
      </c>
      <c r="AD8" s="144">
        <f t="shared" si="11"/>
        <v>11</v>
      </c>
      <c r="AE8" s="70">
        <v>5</v>
      </c>
      <c r="AF8" s="144">
        <f t="shared" si="12"/>
        <v>5</v>
      </c>
      <c r="AG8" s="144">
        <f t="shared" si="13"/>
        <v>5</v>
      </c>
      <c r="AH8" s="73">
        <f t="shared" si="14"/>
        <v>0.125</v>
      </c>
      <c r="AI8" s="73">
        <f t="shared" si="15"/>
        <v>0.25</v>
      </c>
      <c r="AJ8" s="73">
        <f t="shared" si="16"/>
        <v>0.27500000000000002</v>
      </c>
      <c r="AK8" s="73">
        <f t="shared" si="17"/>
        <v>0.125</v>
      </c>
      <c r="AL8" s="73">
        <f t="shared" si="18"/>
        <v>0.125</v>
      </c>
      <c r="AM8" s="73">
        <f t="shared" si="19"/>
        <v>0.125</v>
      </c>
    </row>
    <row r="9" spans="2:39" x14ac:dyDescent="0.3">
      <c r="B9" s="70">
        <v>32</v>
      </c>
      <c r="C9" s="70">
        <v>1</v>
      </c>
      <c r="D9" s="152">
        <v>45139</v>
      </c>
      <c r="E9" s="70" t="s">
        <v>220</v>
      </c>
      <c r="F9" s="70" t="s">
        <v>96</v>
      </c>
      <c r="G9" s="70">
        <v>5</v>
      </c>
      <c r="H9" s="70">
        <v>1</v>
      </c>
      <c r="I9" s="144">
        <v>0</v>
      </c>
      <c r="J9" s="144">
        <v>3</v>
      </c>
      <c r="K9" s="144">
        <v>4</v>
      </c>
      <c r="L9" s="144">
        <v>1</v>
      </c>
      <c r="M9" s="144">
        <v>4</v>
      </c>
      <c r="N9" s="144">
        <v>1</v>
      </c>
      <c r="O9" s="144">
        <v>2</v>
      </c>
      <c r="P9" s="144">
        <v>1</v>
      </c>
      <c r="Q9" s="144">
        <v>1</v>
      </c>
      <c r="R9" s="144">
        <v>1</v>
      </c>
      <c r="S9" s="144">
        <v>0</v>
      </c>
      <c r="T9" s="144">
        <v>0</v>
      </c>
      <c r="U9" s="144">
        <v>2</v>
      </c>
      <c r="V9" s="144">
        <v>3</v>
      </c>
      <c r="W9" s="144">
        <v>4</v>
      </c>
      <c r="X9" s="144">
        <v>0</v>
      </c>
      <c r="Y9" s="144">
        <v>1</v>
      </c>
      <c r="Z9" s="144">
        <v>1</v>
      </c>
      <c r="AA9" s="151">
        <f>SUM(H9:Z9)</f>
        <v>30</v>
      </c>
      <c r="AB9" s="70">
        <f>SUM(H9:I9)</f>
        <v>1</v>
      </c>
      <c r="AC9" s="144">
        <f>SUM(J9:L9)</f>
        <v>8</v>
      </c>
      <c r="AD9" s="144">
        <f>SUM(M9:S9)</f>
        <v>10</v>
      </c>
      <c r="AE9" s="70">
        <v>2</v>
      </c>
      <c r="AF9" s="144">
        <f>SUM(T9:U9)</f>
        <v>2</v>
      </c>
      <c r="AG9" s="144">
        <f>SUM(Y9:Z9)</f>
        <v>2</v>
      </c>
      <c r="AH9" s="73">
        <f>AB9/$AA$6</f>
        <v>2.5000000000000001E-2</v>
      </c>
      <c r="AI9" s="73">
        <f t="shared" si="15"/>
        <v>0.2</v>
      </c>
      <c r="AJ9" s="73">
        <f t="shared" si="15"/>
        <v>0.25</v>
      </c>
      <c r="AK9" s="73">
        <f t="shared" si="15"/>
        <v>0.05</v>
      </c>
      <c r="AL9" s="73">
        <f t="shared" si="15"/>
        <v>0.05</v>
      </c>
      <c r="AM9" s="73">
        <f t="shared" si="15"/>
        <v>0.05</v>
      </c>
    </row>
    <row r="10" spans="2:39" x14ac:dyDescent="0.3">
      <c r="B10" s="70">
        <v>32</v>
      </c>
      <c r="C10" s="70">
        <v>1</v>
      </c>
      <c r="D10" s="152">
        <v>45139</v>
      </c>
      <c r="E10" s="70" t="s">
        <v>221</v>
      </c>
      <c r="F10" s="70" t="s">
        <v>96</v>
      </c>
      <c r="G10" s="70">
        <v>6</v>
      </c>
      <c r="H10" s="70">
        <v>2</v>
      </c>
      <c r="I10" s="144">
        <v>1</v>
      </c>
      <c r="J10" s="144">
        <v>2</v>
      </c>
      <c r="K10" s="144">
        <v>1</v>
      </c>
      <c r="L10" s="144">
        <v>0</v>
      </c>
      <c r="M10" s="144">
        <v>1</v>
      </c>
      <c r="N10" s="144">
        <v>3</v>
      </c>
      <c r="O10" s="144">
        <v>3</v>
      </c>
      <c r="P10" s="144">
        <v>1</v>
      </c>
      <c r="Q10" s="144">
        <v>0</v>
      </c>
      <c r="R10" s="144">
        <v>1</v>
      </c>
      <c r="S10" s="144">
        <v>1</v>
      </c>
      <c r="T10" s="144">
        <v>2</v>
      </c>
      <c r="U10" s="144">
        <v>3</v>
      </c>
      <c r="V10" s="144">
        <v>3</v>
      </c>
      <c r="W10" s="144">
        <v>4</v>
      </c>
      <c r="X10" s="144">
        <v>3</v>
      </c>
      <c r="Y10" s="144">
        <v>0</v>
      </c>
      <c r="Z10" s="144">
        <v>3</v>
      </c>
      <c r="AA10" s="151">
        <f t="shared" ref="AA10" si="20">SUM(H10:Z10)</f>
        <v>34</v>
      </c>
      <c r="AB10" s="70">
        <f t="shared" ref="AB10" si="21">SUM(H10:I10)</f>
        <v>3</v>
      </c>
      <c r="AC10" s="144">
        <f t="shared" ref="AC10" si="22">SUM(J10:L10)</f>
        <v>3</v>
      </c>
      <c r="AD10" s="144">
        <f t="shared" ref="AD10" si="23">SUM(M10:S10)</f>
        <v>10</v>
      </c>
      <c r="AE10" s="70">
        <v>3</v>
      </c>
      <c r="AF10" s="144">
        <f t="shared" ref="AF10" si="24">SUM(T10:U10)</f>
        <v>5</v>
      </c>
      <c r="AG10" s="144">
        <f t="shared" ref="AG10" si="25">SUM(Y10:Z10)</f>
        <v>3</v>
      </c>
      <c r="AH10" s="73">
        <f t="shared" ref="AH10" si="26">AB10/$AA$6</f>
        <v>7.4999999999999997E-2</v>
      </c>
      <c r="AI10" s="73">
        <f t="shared" si="15"/>
        <v>7.4999999999999997E-2</v>
      </c>
      <c r="AJ10" s="73">
        <f t="shared" si="15"/>
        <v>0.25</v>
      </c>
      <c r="AK10" s="73">
        <f t="shared" si="15"/>
        <v>7.4999999999999997E-2</v>
      </c>
      <c r="AL10" s="73">
        <f t="shared" si="15"/>
        <v>0.125</v>
      </c>
      <c r="AM10" s="73">
        <f t="shared" si="15"/>
        <v>7.4999999999999997E-2</v>
      </c>
    </row>
    <row r="11" spans="2:39" x14ac:dyDescent="0.3">
      <c r="B11" s="70">
        <v>32</v>
      </c>
      <c r="C11" s="70">
        <v>1</v>
      </c>
      <c r="D11" s="152">
        <v>45142</v>
      </c>
      <c r="E11" s="70" t="s">
        <v>220</v>
      </c>
      <c r="F11" s="70" t="s">
        <v>96</v>
      </c>
      <c r="G11" s="70">
        <v>7</v>
      </c>
      <c r="H11" s="70">
        <v>1</v>
      </c>
      <c r="I11" s="70">
        <v>3</v>
      </c>
      <c r="J11" s="70">
        <v>2</v>
      </c>
      <c r="K11" s="70">
        <v>3</v>
      </c>
      <c r="L11" s="70">
        <v>2</v>
      </c>
      <c r="M11" s="70">
        <v>1</v>
      </c>
      <c r="N11" s="70">
        <v>3</v>
      </c>
      <c r="O11" s="70">
        <v>1</v>
      </c>
      <c r="P11" s="70">
        <v>3</v>
      </c>
      <c r="Q11" s="70">
        <v>2</v>
      </c>
      <c r="R11" s="70">
        <v>3</v>
      </c>
      <c r="S11" s="70">
        <v>3</v>
      </c>
      <c r="T11" s="70">
        <v>3</v>
      </c>
      <c r="U11" s="70">
        <v>2</v>
      </c>
      <c r="V11" s="70">
        <v>2</v>
      </c>
      <c r="W11" s="70">
        <v>1</v>
      </c>
      <c r="X11" s="70">
        <v>2</v>
      </c>
      <c r="Y11" s="70">
        <v>2</v>
      </c>
      <c r="Z11" s="70">
        <v>1</v>
      </c>
      <c r="AA11" s="151">
        <f>SUM(H11:Z11)</f>
        <v>40</v>
      </c>
      <c r="AB11" s="70">
        <f>SUM(H11:I11)</f>
        <v>4</v>
      </c>
      <c r="AC11" s="144">
        <f>SUM(J11:L11)</f>
        <v>7</v>
      </c>
      <c r="AD11" s="144">
        <f>SUM(M11:S11)</f>
        <v>16</v>
      </c>
      <c r="AE11" s="70">
        <v>2</v>
      </c>
      <c r="AF11" s="144">
        <f>SUM(T11:U11)</f>
        <v>5</v>
      </c>
      <c r="AG11" s="144">
        <f>SUM(Y11:Z11)</f>
        <v>3</v>
      </c>
      <c r="AH11" s="73">
        <f>AB11/$AA$6</f>
        <v>0.1</v>
      </c>
      <c r="AI11" s="73">
        <f t="shared" si="15"/>
        <v>0.17499999999999999</v>
      </c>
      <c r="AJ11" s="73">
        <f t="shared" si="15"/>
        <v>0.4</v>
      </c>
      <c r="AK11" s="73">
        <f t="shared" si="15"/>
        <v>0.05</v>
      </c>
      <c r="AL11" s="73">
        <f t="shared" si="15"/>
        <v>0.125</v>
      </c>
      <c r="AM11" s="73">
        <f t="shared" si="15"/>
        <v>7.4999999999999997E-2</v>
      </c>
    </row>
    <row r="12" spans="2:39" x14ac:dyDescent="0.3">
      <c r="B12" s="70">
        <v>32</v>
      </c>
      <c r="C12" s="70">
        <v>2</v>
      </c>
      <c r="D12" s="152">
        <v>45142</v>
      </c>
      <c r="E12" s="70" t="s">
        <v>221</v>
      </c>
      <c r="F12" s="70" t="s">
        <v>96</v>
      </c>
      <c r="G12" s="70">
        <v>8</v>
      </c>
      <c r="H12" s="70">
        <v>2</v>
      </c>
      <c r="I12" s="70">
        <v>2</v>
      </c>
      <c r="J12" s="70">
        <v>1</v>
      </c>
      <c r="K12" s="70">
        <v>1</v>
      </c>
      <c r="L12" s="70">
        <v>3</v>
      </c>
      <c r="M12" s="70">
        <v>2</v>
      </c>
      <c r="N12" s="70">
        <v>3</v>
      </c>
      <c r="O12" s="70">
        <v>3</v>
      </c>
      <c r="P12" s="70">
        <v>3</v>
      </c>
      <c r="Q12" s="70">
        <v>2</v>
      </c>
      <c r="R12" s="70">
        <v>1</v>
      </c>
      <c r="S12" s="70">
        <v>1</v>
      </c>
      <c r="T12" s="70">
        <v>2</v>
      </c>
      <c r="U12" s="70">
        <v>1</v>
      </c>
      <c r="V12" s="70">
        <v>1</v>
      </c>
      <c r="W12" s="70">
        <v>3</v>
      </c>
      <c r="X12" s="70">
        <v>1</v>
      </c>
      <c r="Y12" s="70">
        <v>2</v>
      </c>
      <c r="Z12" s="70">
        <v>3</v>
      </c>
      <c r="AA12" s="151">
        <f t="shared" ref="AA12:AA16" si="27">SUM(H12:Z12)</f>
        <v>37</v>
      </c>
      <c r="AB12" s="70">
        <f t="shared" ref="AB12" si="28">SUM(H12:I12)</f>
        <v>4</v>
      </c>
      <c r="AC12" s="144">
        <f t="shared" ref="AC12" si="29">SUM(J12:L12)</f>
        <v>5</v>
      </c>
      <c r="AD12" s="144">
        <f t="shared" ref="AD12" si="30">SUM(M12:S12)</f>
        <v>15</v>
      </c>
      <c r="AE12" s="70">
        <v>3</v>
      </c>
      <c r="AF12" s="144">
        <f t="shared" ref="AF12" si="31">SUM(T12:U12)</f>
        <v>3</v>
      </c>
      <c r="AG12" s="144">
        <f t="shared" ref="AG12" si="32">SUM(Y12:Z12)</f>
        <v>5</v>
      </c>
      <c r="AH12" s="73">
        <f t="shared" ref="AH12" si="33">AB12/$AA$6</f>
        <v>0.1</v>
      </c>
      <c r="AI12" s="73">
        <f t="shared" si="15"/>
        <v>0.125</v>
      </c>
      <c r="AJ12" s="73">
        <f t="shared" si="15"/>
        <v>0.375</v>
      </c>
      <c r="AK12" s="73">
        <f t="shared" si="15"/>
        <v>7.4999999999999997E-2</v>
      </c>
      <c r="AL12" s="73">
        <f t="shared" si="15"/>
        <v>7.4999999999999997E-2</v>
      </c>
      <c r="AM12" s="73">
        <f t="shared" si="15"/>
        <v>0.125</v>
      </c>
    </row>
    <row r="13" spans="2:39" x14ac:dyDescent="0.3">
      <c r="B13" s="181">
        <v>33</v>
      </c>
      <c r="C13" s="70">
        <v>1</v>
      </c>
      <c r="D13" s="152">
        <v>45145</v>
      </c>
      <c r="E13" s="181" t="s">
        <v>274</v>
      </c>
      <c r="F13" s="181" t="s">
        <v>273</v>
      </c>
      <c r="G13" s="70">
        <v>9</v>
      </c>
      <c r="H13" s="70">
        <v>2</v>
      </c>
      <c r="I13" s="70">
        <v>1</v>
      </c>
      <c r="J13" s="70">
        <v>4</v>
      </c>
      <c r="K13" s="70">
        <v>0</v>
      </c>
      <c r="L13" s="70">
        <v>3</v>
      </c>
      <c r="M13" s="70">
        <v>4</v>
      </c>
      <c r="N13" s="70">
        <v>2</v>
      </c>
      <c r="O13" s="70">
        <v>1</v>
      </c>
      <c r="P13" s="70">
        <v>4</v>
      </c>
      <c r="Q13" s="70">
        <v>2</v>
      </c>
      <c r="R13" s="70">
        <v>3</v>
      </c>
      <c r="S13" s="70">
        <v>0</v>
      </c>
      <c r="T13" s="70">
        <v>3</v>
      </c>
      <c r="U13" s="70">
        <v>0</v>
      </c>
      <c r="V13" s="70">
        <v>4</v>
      </c>
      <c r="W13" s="70">
        <v>2</v>
      </c>
      <c r="X13" s="70">
        <v>4</v>
      </c>
      <c r="Y13" s="70">
        <v>0</v>
      </c>
      <c r="Z13" s="70">
        <v>0</v>
      </c>
      <c r="AA13" s="151">
        <f t="shared" si="27"/>
        <v>39</v>
      </c>
      <c r="AB13" s="70">
        <f t="shared" ref="AB13:AB16" si="34">SUM(H13:I13)</f>
        <v>3</v>
      </c>
      <c r="AC13" s="144">
        <f t="shared" ref="AC13:AC16" si="35">SUM(J13:L13)</f>
        <v>7</v>
      </c>
      <c r="AD13" s="144">
        <f t="shared" ref="AD13:AD16" si="36">SUM(M13:S13)</f>
        <v>16</v>
      </c>
      <c r="AE13" s="70">
        <v>4</v>
      </c>
      <c r="AF13" s="144">
        <f t="shared" ref="AF13:AF16" si="37">SUM(T13:U13)</f>
        <v>3</v>
      </c>
      <c r="AG13" s="144">
        <f t="shared" ref="AG13:AG16" si="38">SUM(Y13:Z13)</f>
        <v>0</v>
      </c>
      <c r="AH13" s="73">
        <f t="shared" ref="AH13:AH16" si="39">AB13/$AA$6</f>
        <v>7.4999999999999997E-2</v>
      </c>
      <c r="AI13" s="73">
        <f t="shared" ref="AI13:AI16" si="40">AC13/$AA$6</f>
        <v>0.17499999999999999</v>
      </c>
      <c r="AJ13" s="73">
        <f t="shared" ref="AJ13:AJ16" si="41">AD13/$AA$6</f>
        <v>0.4</v>
      </c>
      <c r="AK13" s="73">
        <f t="shared" ref="AK13:AK16" si="42">AE13/$AA$6</f>
        <v>0.1</v>
      </c>
      <c r="AL13" s="73">
        <f t="shared" ref="AL13:AL16" si="43">AF13/$AA$6</f>
        <v>7.4999999999999997E-2</v>
      </c>
      <c r="AM13" s="73">
        <f t="shared" ref="AM13:AM16" si="44">AG13/$AA$6</f>
        <v>0</v>
      </c>
    </row>
    <row r="14" spans="2:39" x14ac:dyDescent="0.3">
      <c r="B14" s="181">
        <v>33</v>
      </c>
      <c r="C14" s="70">
        <v>1</v>
      </c>
      <c r="D14" s="152">
        <v>45145</v>
      </c>
      <c r="E14" s="181" t="s">
        <v>275</v>
      </c>
      <c r="F14" s="181" t="s">
        <v>273</v>
      </c>
      <c r="G14" s="70">
        <v>10</v>
      </c>
      <c r="H14" s="70">
        <v>1</v>
      </c>
      <c r="I14" s="70">
        <v>1</v>
      </c>
      <c r="J14" s="70">
        <v>0</v>
      </c>
      <c r="K14" s="70">
        <v>1</v>
      </c>
      <c r="L14" s="70">
        <v>2</v>
      </c>
      <c r="M14" s="70">
        <v>2</v>
      </c>
      <c r="N14" s="70">
        <v>1</v>
      </c>
      <c r="O14" s="70">
        <v>4</v>
      </c>
      <c r="P14" s="70">
        <v>1</v>
      </c>
      <c r="Q14" s="70">
        <v>1</v>
      </c>
      <c r="R14" s="70">
        <v>3</v>
      </c>
      <c r="S14" s="70">
        <v>3</v>
      </c>
      <c r="T14" s="70">
        <v>2</v>
      </c>
      <c r="U14" s="70">
        <v>0</v>
      </c>
      <c r="V14" s="70">
        <v>2</v>
      </c>
      <c r="W14" s="70">
        <v>1</v>
      </c>
      <c r="X14" s="70">
        <v>3</v>
      </c>
      <c r="Y14" s="70">
        <v>4</v>
      </c>
      <c r="Z14" s="70">
        <v>0</v>
      </c>
      <c r="AA14" s="151">
        <f t="shared" si="27"/>
        <v>32</v>
      </c>
      <c r="AB14" s="70">
        <f t="shared" si="34"/>
        <v>2</v>
      </c>
      <c r="AC14" s="144">
        <f t="shared" si="35"/>
        <v>3</v>
      </c>
      <c r="AD14" s="144">
        <f t="shared" si="36"/>
        <v>15</v>
      </c>
      <c r="AE14" s="70">
        <v>5</v>
      </c>
      <c r="AF14" s="144">
        <f t="shared" si="37"/>
        <v>2</v>
      </c>
      <c r="AG14" s="144">
        <f t="shared" si="38"/>
        <v>4</v>
      </c>
      <c r="AH14" s="73">
        <f t="shared" si="39"/>
        <v>0.05</v>
      </c>
      <c r="AI14" s="73">
        <f t="shared" si="40"/>
        <v>7.4999999999999997E-2</v>
      </c>
      <c r="AJ14" s="73">
        <f t="shared" si="41"/>
        <v>0.375</v>
      </c>
      <c r="AK14" s="73">
        <f t="shared" si="42"/>
        <v>0.125</v>
      </c>
      <c r="AL14" s="73">
        <f t="shared" si="43"/>
        <v>0.05</v>
      </c>
      <c r="AM14" s="73">
        <f t="shared" si="44"/>
        <v>0.1</v>
      </c>
    </row>
    <row r="15" spans="2:39" x14ac:dyDescent="0.3">
      <c r="B15" s="181">
        <v>33</v>
      </c>
      <c r="C15" s="70">
        <v>2</v>
      </c>
      <c r="D15" s="152">
        <v>45147</v>
      </c>
      <c r="E15" s="181" t="s">
        <v>274</v>
      </c>
      <c r="F15" s="181" t="s">
        <v>273</v>
      </c>
      <c r="G15" s="70">
        <v>11</v>
      </c>
      <c r="H15" s="70">
        <v>0</v>
      </c>
      <c r="I15" s="70">
        <v>3</v>
      </c>
      <c r="J15" s="70">
        <v>0</v>
      </c>
      <c r="K15" s="70">
        <v>0</v>
      </c>
      <c r="L15" s="70">
        <v>3</v>
      </c>
      <c r="M15" s="70">
        <v>0</v>
      </c>
      <c r="N15" s="70">
        <v>4</v>
      </c>
      <c r="O15" s="70">
        <v>4</v>
      </c>
      <c r="P15" s="70">
        <v>4</v>
      </c>
      <c r="Q15" s="70">
        <v>3</v>
      </c>
      <c r="R15" s="70">
        <v>0</v>
      </c>
      <c r="S15" s="70">
        <v>4</v>
      </c>
      <c r="T15" s="70">
        <v>2</v>
      </c>
      <c r="U15" s="70">
        <v>3</v>
      </c>
      <c r="V15" s="70">
        <v>3</v>
      </c>
      <c r="W15" s="70">
        <v>0</v>
      </c>
      <c r="X15" s="70">
        <v>3</v>
      </c>
      <c r="Y15" s="70">
        <v>0</v>
      </c>
      <c r="Z15" s="70">
        <v>4</v>
      </c>
      <c r="AA15" s="151">
        <f t="shared" si="27"/>
        <v>40</v>
      </c>
      <c r="AB15" s="70">
        <f t="shared" si="34"/>
        <v>3</v>
      </c>
      <c r="AC15" s="144">
        <f t="shared" si="35"/>
        <v>3</v>
      </c>
      <c r="AD15" s="144">
        <f t="shared" si="36"/>
        <v>19</v>
      </c>
      <c r="AE15" s="70">
        <v>6</v>
      </c>
      <c r="AF15" s="144">
        <f t="shared" si="37"/>
        <v>5</v>
      </c>
      <c r="AG15" s="144">
        <f t="shared" si="38"/>
        <v>4</v>
      </c>
      <c r="AH15" s="73">
        <f t="shared" si="39"/>
        <v>7.4999999999999997E-2</v>
      </c>
      <c r="AI15" s="73">
        <f t="shared" si="40"/>
        <v>7.4999999999999997E-2</v>
      </c>
      <c r="AJ15" s="73">
        <f t="shared" si="41"/>
        <v>0.47499999999999998</v>
      </c>
      <c r="AK15" s="73">
        <f t="shared" si="42"/>
        <v>0.15</v>
      </c>
      <c r="AL15" s="73">
        <f t="shared" si="43"/>
        <v>0.125</v>
      </c>
      <c r="AM15" s="73">
        <f t="shared" si="44"/>
        <v>0.1</v>
      </c>
    </row>
    <row r="16" spans="2:39" x14ac:dyDescent="0.3">
      <c r="B16" s="181">
        <v>33</v>
      </c>
      <c r="C16" s="70">
        <v>2</v>
      </c>
      <c r="D16" s="152">
        <v>45147</v>
      </c>
      <c r="E16" s="181" t="s">
        <v>275</v>
      </c>
      <c r="F16" s="181" t="s">
        <v>273</v>
      </c>
      <c r="G16" s="70">
        <v>12</v>
      </c>
      <c r="H16" s="70">
        <v>0</v>
      </c>
      <c r="I16" s="70">
        <v>4</v>
      </c>
      <c r="J16" s="70">
        <v>4</v>
      </c>
      <c r="K16" s="70">
        <v>2</v>
      </c>
      <c r="L16" s="70">
        <v>4</v>
      </c>
      <c r="M16" s="70">
        <v>3</v>
      </c>
      <c r="N16" s="70">
        <v>1</v>
      </c>
      <c r="O16" s="70">
        <v>0</v>
      </c>
      <c r="P16" s="70">
        <v>3</v>
      </c>
      <c r="Q16" s="70">
        <v>3</v>
      </c>
      <c r="R16" s="70">
        <v>4</v>
      </c>
      <c r="S16" s="70">
        <v>1</v>
      </c>
      <c r="T16" s="70">
        <v>2</v>
      </c>
      <c r="U16" s="70">
        <v>1</v>
      </c>
      <c r="V16" s="70">
        <v>4</v>
      </c>
      <c r="W16" s="70">
        <v>1</v>
      </c>
      <c r="X16" s="70">
        <v>3</v>
      </c>
      <c r="Y16" s="70">
        <v>4</v>
      </c>
      <c r="Z16" s="70">
        <v>2</v>
      </c>
      <c r="AA16" s="151">
        <f t="shared" si="27"/>
        <v>46</v>
      </c>
      <c r="AB16" s="70">
        <f t="shared" si="34"/>
        <v>4</v>
      </c>
      <c r="AC16" s="144">
        <f t="shared" si="35"/>
        <v>10</v>
      </c>
      <c r="AD16" s="144">
        <f t="shared" si="36"/>
        <v>15</v>
      </c>
      <c r="AE16" s="70">
        <v>7</v>
      </c>
      <c r="AF16" s="144">
        <f t="shared" si="37"/>
        <v>3</v>
      </c>
      <c r="AG16" s="144">
        <f t="shared" si="38"/>
        <v>6</v>
      </c>
      <c r="AH16" s="73">
        <f t="shared" si="39"/>
        <v>0.1</v>
      </c>
      <c r="AI16" s="73">
        <f t="shared" si="40"/>
        <v>0.25</v>
      </c>
      <c r="AJ16" s="73">
        <f t="shared" si="41"/>
        <v>0.375</v>
      </c>
      <c r="AK16" s="73">
        <f t="shared" si="42"/>
        <v>0.17499999999999999</v>
      </c>
      <c r="AL16" s="73">
        <f t="shared" si="43"/>
        <v>7.4999999999999997E-2</v>
      </c>
      <c r="AM16" s="73">
        <f t="shared" si="44"/>
        <v>0.15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D56"/>
  <sheetViews>
    <sheetView workbookViewId="0">
      <selection activeCell="E4" sqref="E4"/>
    </sheetView>
  </sheetViews>
  <sheetFormatPr defaultRowHeight="14.4" x14ac:dyDescent="0.3"/>
  <cols>
    <col min="2" max="2" width="9.88671875" bestFit="1" customWidth="1"/>
    <col min="3" max="4" width="10.5546875" bestFit="1" customWidth="1"/>
  </cols>
  <sheetData>
    <row r="4" spans="2:4" x14ac:dyDescent="0.3">
      <c r="B4" t="s">
        <v>112</v>
      </c>
      <c r="C4" s="157">
        <v>44928</v>
      </c>
      <c r="D4" s="157">
        <f>C4+6</f>
        <v>44934</v>
      </c>
    </row>
    <row r="5" spans="2:4" x14ac:dyDescent="0.3">
      <c r="B5" t="s">
        <v>113</v>
      </c>
      <c r="C5" s="157">
        <v>44935</v>
      </c>
      <c r="D5" s="157">
        <f t="shared" ref="D5:D56" si="0">C5+6</f>
        <v>44941</v>
      </c>
    </row>
    <row r="6" spans="2:4" x14ac:dyDescent="0.3">
      <c r="B6" t="s">
        <v>114</v>
      </c>
      <c r="C6" s="157">
        <v>44942</v>
      </c>
      <c r="D6" s="157">
        <f t="shared" si="0"/>
        <v>44948</v>
      </c>
    </row>
    <row r="7" spans="2:4" x14ac:dyDescent="0.3">
      <c r="B7" t="s">
        <v>115</v>
      </c>
      <c r="C7" s="157">
        <v>44949</v>
      </c>
      <c r="D7" s="157">
        <f t="shared" si="0"/>
        <v>44955</v>
      </c>
    </row>
    <row r="8" spans="2:4" x14ac:dyDescent="0.3">
      <c r="B8" t="s">
        <v>116</v>
      </c>
      <c r="C8" s="157">
        <v>44956</v>
      </c>
      <c r="D8" s="157">
        <f t="shared" si="0"/>
        <v>44962</v>
      </c>
    </row>
    <row r="9" spans="2:4" x14ac:dyDescent="0.3">
      <c r="B9" t="s">
        <v>117</v>
      </c>
      <c r="C9" s="157">
        <v>44963</v>
      </c>
      <c r="D9" s="157">
        <f t="shared" si="0"/>
        <v>44969</v>
      </c>
    </row>
    <row r="10" spans="2:4" x14ac:dyDescent="0.3">
      <c r="B10" t="s">
        <v>118</v>
      </c>
      <c r="C10" s="157">
        <v>44970</v>
      </c>
      <c r="D10" s="157">
        <f t="shared" si="0"/>
        <v>44976</v>
      </c>
    </row>
    <row r="11" spans="2:4" x14ac:dyDescent="0.3">
      <c r="B11" t="s">
        <v>119</v>
      </c>
      <c r="C11" s="157">
        <v>44977</v>
      </c>
      <c r="D11" s="157">
        <f t="shared" si="0"/>
        <v>44983</v>
      </c>
    </row>
    <row r="12" spans="2:4" x14ac:dyDescent="0.3">
      <c r="B12" t="s">
        <v>120</v>
      </c>
      <c r="C12" s="157">
        <v>44984</v>
      </c>
      <c r="D12" s="157">
        <f t="shared" si="0"/>
        <v>44990</v>
      </c>
    </row>
    <row r="13" spans="2:4" x14ac:dyDescent="0.3">
      <c r="B13" t="s">
        <v>121</v>
      </c>
      <c r="C13" s="157">
        <v>44991</v>
      </c>
      <c r="D13" s="157">
        <f t="shared" si="0"/>
        <v>44997</v>
      </c>
    </row>
    <row r="14" spans="2:4" x14ac:dyDescent="0.3">
      <c r="B14" t="s">
        <v>122</v>
      </c>
      <c r="C14" s="157">
        <v>44998</v>
      </c>
      <c r="D14" s="157">
        <f t="shared" si="0"/>
        <v>45004</v>
      </c>
    </row>
    <row r="15" spans="2:4" x14ac:dyDescent="0.3">
      <c r="B15" t="s">
        <v>123</v>
      </c>
      <c r="C15" s="157">
        <v>45005</v>
      </c>
      <c r="D15" s="157">
        <f t="shared" si="0"/>
        <v>45011</v>
      </c>
    </row>
    <row r="16" spans="2:4" x14ac:dyDescent="0.3">
      <c r="B16" t="s">
        <v>124</v>
      </c>
      <c r="C16" s="157">
        <v>45012</v>
      </c>
      <c r="D16" s="157">
        <f t="shared" si="0"/>
        <v>45018</v>
      </c>
    </row>
    <row r="17" spans="2:4" x14ac:dyDescent="0.3">
      <c r="B17" t="s">
        <v>125</v>
      </c>
      <c r="C17" s="157">
        <v>45019</v>
      </c>
      <c r="D17" s="157">
        <f t="shared" si="0"/>
        <v>45025</v>
      </c>
    </row>
    <row r="18" spans="2:4" x14ac:dyDescent="0.3">
      <c r="B18" t="s">
        <v>126</v>
      </c>
      <c r="C18" s="157">
        <v>45026</v>
      </c>
      <c r="D18" s="157">
        <f t="shared" si="0"/>
        <v>45032</v>
      </c>
    </row>
    <row r="19" spans="2:4" x14ac:dyDescent="0.3">
      <c r="B19" t="s">
        <v>127</v>
      </c>
      <c r="C19" s="157">
        <v>45033</v>
      </c>
      <c r="D19" s="157">
        <f t="shared" si="0"/>
        <v>45039</v>
      </c>
    </row>
    <row r="20" spans="2:4" x14ac:dyDescent="0.3">
      <c r="B20" t="s">
        <v>128</v>
      </c>
      <c r="C20" s="157">
        <v>45040</v>
      </c>
      <c r="D20" s="157">
        <f t="shared" si="0"/>
        <v>45046</v>
      </c>
    </row>
    <row r="21" spans="2:4" x14ac:dyDescent="0.3">
      <c r="B21" t="s">
        <v>129</v>
      </c>
      <c r="C21" s="157">
        <v>45047</v>
      </c>
      <c r="D21" s="157">
        <f t="shared" si="0"/>
        <v>45053</v>
      </c>
    </row>
    <row r="22" spans="2:4" x14ac:dyDescent="0.3">
      <c r="B22" t="s">
        <v>130</v>
      </c>
      <c r="C22" s="157">
        <v>45054</v>
      </c>
      <c r="D22" s="157">
        <f t="shared" si="0"/>
        <v>45060</v>
      </c>
    </row>
    <row r="23" spans="2:4" x14ac:dyDescent="0.3">
      <c r="B23" t="s">
        <v>131</v>
      </c>
      <c r="C23" s="157">
        <v>45061</v>
      </c>
      <c r="D23" s="157">
        <f t="shared" si="0"/>
        <v>45067</v>
      </c>
    </row>
    <row r="24" spans="2:4" x14ac:dyDescent="0.3">
      <c r="B24" t="s">
        <v>132</v>
      </c>
      <c r="C24" s="157">
        <v>45068</v>
      </c>
      <c r="D24" s="157">
        <f t="shared" si="0"/>
        <v>45074</v>
      </c>
    </row>
    <row r="25" spans="2:4" x14ac:dyDescent="0.3">
      <c r="B25" t="s">
        <v>133</v>
      </c>
      <c r="C25" s="157">
        <v>45075</v>
      </c>
      <c r="D25" s="157">
        <f t="shared" si="0"/>
        <v>45081</v>
      </c>
    </row>
    <row r="26" spans="2:4" x14ac:dyDescent="0.3">
      <c r="B26" t="s">
        <v>134</v>
      </c>
      <c r="C26" s="157">
        <v>45082</v>
      </c>
      <c r="D26" s="157">
        <f t="shared" si="0"/>
        <v>45088</v>
      </c>
    </row>
    <row r="27" spans="2:4" x14ac:dyDescent="0.3">
      <c r="B27" t="s">
        <v>135</v>
      </c>
      <c r="C27" s="157">
        <v>45089</v>
      </c>
      <c r="D27" s="157">
        <f t="shared" si="0"/>
        <v>45095</v>
      </c>
    </row>
    <row r="28" spans="2:4" x14ac:dyDescent="0.3">
      <c r="B28" t="s">
        <v>136</v>
      </c>
      <c r="C28" s="157">
        <v>45096</v>
      </c>
      <c r="D28" s="157">
        <f t="shared" si="0"/>
        <v>45102</v>
      </c>
    </row>
    <row r="29" spans="2:4" x14ac:dyDescent="0.3">
      <c r="B29" t="s">
        <v>137</v>
      </c>
      <c r="C29" s="157">
        <v>45103</v>
      </c>
      <c r="D29" s="157">
        <f t="shared" si="0"/>
        <v>45109</v>
      </c>
    </row>
    <row r="30" spans="2:4" x14ac:dyDescent="0.3">
      <c r="B30" t="s">
        <v>138</v>
      </c>
      <c r="C30" s="157">
        <v>45110</v>
      </c>
      <c r="D30" s="157">
        <f t="shared" si="0"/>
        <v>45116</v>
      </c>
    </row>
    <row r="31" spans="2:4" x14ac:dyDescent="0.3">
      <c r="B31" t="s">
        <v>139</v>
      </c>
      <c r="C31" s="157">
        <v>45117</v>
      </c>
      <c r="D31" s="157">
        <f t="shared" si="0"/>
        <v>45123</v>
      </c>
    </row>
    <row r="32" spans="2:4" x14ac:dyDescent="0.3">
      <c r="B32" t="s">
        <v>140</v>
      </c>
      <c r="C32" s="157">
        <v>45124</v>
      </c>
      <c r="D32" s="157">
        <f t="shared" si="0"/>
        <v>45130</v>
      </c>
    </row>
    <row r="33" spans="2:4" x14ac:dyDescent="0.3">
      <c r="B33" t="s">
        <v>141</v>
      </c>
      <c r="C33" s="157">
        <v>45131</v>
      </c>
      <c r="D33" s="157">
        <f t="shared" si="0"/>
        <v>45137</v>
      </c>
    </row>
    <row r="34" spans="2:4" x14ac:dyDescent="0.3">
      <c r="B34" t="s">
        <v>142</v>
      </c>
      <c r="C34" s="157">
        <v>45138</v>
      </c>
      <c r="D34" s="157">
        <f t="shared" si="0"/>
        <v>45144</v>
      </c>
    </row>
    <row r="35" spans="2:4" x14ac:dyDescent="0.3">
      <c r="B35" t="s">
        <v>143</v>
      </c>
      <c r="C35" s="157">
        <v>45145</v>
      </c>
      <c r="D35" s="157">
        <f t="shared" si="0"/>
        <v>45151</v>
      </c>
    </row>
    <row r="36" spans="2:4" x14ac:dyDescent="0.3">
      <c r="B36" t="s">
        <v>144</v>
      </c>
      <c r="C36" s="157">
        <v>45152</v>
      </c>
      <c r="D36" s="157">
        <f t="shared" si="0"/>
        <v>45158</v>
      </c>
    </row>
    <row r="37" spans="2:4" x14ac:dyDescent="0.3">
      <c r="B37" t="s">
        <v>145</v>
      </c>
      <c r="C37" s="157">
        <v>45159</v>
      </c>
      <c r="D37" s="157">
        <f t="shared" si="0"/>
        <v>45165</v>
      </c>
    </row>
    <row r="38" spans="2:4" x14ac:dyDescent="0.3">
      <c r="B38" t="s">
        <v>146</v>
      </c>
      <c r="C38" s="157">
        <v>45166</v>
      </c>
      <c r="D38" s="157">
        <f t="shared" si="0"/>
        <v>45172</v>
      </c>
    </row>
    <row r="39" spans="2:4" x14ac:dyDescent="0.3">
      <c r="B39" t="s">
        <v>147</v>
      </c>
      <c r="C39" s="157">
        <v>45173</v>
      </c>
      <c r="D39" s="157">
        <f t="shared" si="0"/>
        <v>45179</v>
      </c>
    </row>
    <row r="40" spans="2:4" x14ac:dyDescent="0.3">
      <c r="B40" t="s">
        <v>148</v>
      </c>
      <c r="C40" s="157">
        <v>45180</v>
      </c>
      <c r="D40" s="157">
        <f t="shared" si="0"/>
        <v>45186</v>
      </c>
    </row>
    <row r="41" spans="2:4" x14ac:dyDescent="0.3">
      <c r="B41" t="s">
        <v>149</v>
      </c>
      <c r="C41" s="157">
        <v>45187</v>
      </c>
      <c r="D41" s="157">
        <f t="shared" si="0"/>
        <v>45193</v>
      </c>
    </row>
    <row r="42" spans="2:4" x14ac:dyDescent="0.3">
      <c r="B42" t="s">
        <v>150</v>
      </c>
      <c r="C42" s="157">
        <v>45194</v>
      </c>
      <c r="D42" s="157">
        <f t="shared" si="0"/>
        <v>45200</v>
      </c>
    </row>
    <row r="43" spans="2:4" x14ac:dyDescent="0.3">
      <c r="B43" t="s">
        <v>151</v>
      </c>
      <c r="C43" s="157">
        <v>45201</v>
      </c>
      <c r="D43" s="157">
        <f t="shared" si="0"/>
        <v>45207</v>
      </c>
    </row>
    <row r="44" spans="2:4" x14ac:dyDescent="0.3">
      <c r="B44" t="s">
        <v>152</v>
      </c>
      <c r="C44" s="157">
        <v>45208</v>
      </c>
      <c r="D44" s="157">
        <f t="shared" si="0"/>
        <v>45214</v>
      </c>
    </row>
    <row r="45" spans="2:4" x14ac:dyDescent="0.3">
      <c r="B45" t="s">
        <v>153</v>
      </c>
      <c r="C45" s="157">
        <v>45215</v>
      </c>
      <c r="D45" s="157">
        <f t="shared" si="0"/>
        <v>45221</v>
      </c>
    </row>
    <row r="46" spans="2:4" x14ac:dyDescent="0.3">
      <c r="B46" t="s">
        <v>154</v>
      </c>
      <c r="C46" s="157">
        <v>45222</v>
      </c>
      <c r="D46" s="157">
        <f t="shared" si="0"/>
        <v>45228</v>
      </c>
    </row>
    <row r="47" spans="2:4" x14ac:dyDescent="0.3">
      <c r="B47" t="s">
        <v>155</v>
      </c>
      <c r="C47" s="157">
        <v>45229</v>
      </c>
      <c r="D47" s="157">
        <f t="shared" si="0"/>
        <v>45235</v>
      </c>
    </row>
    <row r="48" spans="2:4" x14ac:dyDescent="0.3">
      <c r="B48" t="s">
        <v>156</v>
      </c>
      <c r="C48" s="157">
        <v>45236</v>
      </c>
      <c r="D48" s="157">
        <f t="shared" si="0"/>
        <v>45242</v>
      </c>
    </row>
    <row r="49" spans="2:4" x14ac:dyDescent="0.3">
      <c r="B49" t="s">
        <v>157</v>
      </c>
      <c r="C49" s="157">
        <v>45243</v>
      </c>
      <c r="D49" s="157">
        <f t="shared" si="0"/>
        <v>45249</v>
      </c>
    </row>
    <row r="50" spans="2:4" x14ac:dyDescent="0.3">
      <c r="B50" t="s">
        <v>158</v>
      </c>
      <c r="C50" s="157">
        <v>45250</v>
      </c>
      <c r="D50" s="157">
        <f t="shared" si="0"/>
        <v>45256</v>
      </c>
    </row>
    <row r="51" spans="2:4" x14ac:dyDescent="0.3">
      <c r="B51" t="s">
        <v>159</v>
      </c>
      <c r="C51" s="157">
        <v>45257</v>
      </c>
      <c r="D51" s="157">
        <f t="shared" si="0"/>
        <v>45263</v>
      </c>
    </row>
    <row r="52" spans="2:4" x14ac:dyDescent="0.3">
      <c r="B52" t="s">
        <v>160</v>
      </c>
      <c r="C52" s="157">
        <v>45264</v>
      </c>
      <c r="D52" s="157">
        <f t="shared" si="0"/>
        <v>45270</v>
      </c>
    </row>
    <row r="53" spans="2:4" x14ac:dyDescent="0.3">
      <c r="B53" t="s">
        <v>161</v>
      </c>
      <c r="C53" s="157">
        <v>45271</v>
      </c>
      <c r="D53" s="157">
        <f t="shared" si="0"/>
        <v>45277</v>
      </c>
    </row>
    <row r="54" spans="2:4" x14ac:dyDescent="0.3">
      <c r="B54" t="s">
        <v>162</v>
      </c>
      <c r="C54" s="157">
        <v>45278</v>
      </c>
      <c r="D54" s="157">
        <f t="shared" si="0"/>
        <v>45284</v>
      </c>
    </row>
    <row r="55" spans="2:4" x14ac:dyDescent="0.3">
      <c r="B55" t="s">
        <v>163</v>
      </c>
      <c r="C55" s="157">
        <v>45285</v>
      </c>
      <c r="D55" s="157">
        <f t="shared" si="0"/>
        <v>45291</v>
      </c>
    </row>
    <row r="56" spans="2:4" x14ac:dyDescent="0.3">
      <c r="C56" s="157">
        <v>45292</v>
      </c>
      <c r="D56" s="157">
        <f t="shared" si="0"/>
        <v>45298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4:M29"/>
  <sheetViews>
    <sheetView zoomScale="85" zoomScaleNormal="85" workbookViewId="0">
      <selection activeCell="D12" sqref="D12"/>
    </sheetView>
  </sheetViews>
  <sheetFormatPr defaultColWidth="5.6640625" defaultRowHeight="14.4" x14ac:dyDescent="0.3"/>
  <cols>
    <col min="2" max="2" width="11" bestFit="1" customWidth="1"/>
    <col min="3" max="3" width="12" bestFit="1" customWidth="1"/>
    <col min="4" max="4" width="76.109375" bestFit="1" customWidth="1"/>
    <col min="5" max="5" width="11.44140625" customWidth="1"/>
    <col min="6" max="6" width="9.77734375" style="128" customWidth="1"/>
    <col min="7" max="7" width="11.77734375" style="128" customWidth="1"/>
    <col min="8" max="8" width="12.5546875" customWidth="1"/>
    <col min="11" max="11" width="55.88671875" bestFit="1" customWidth="1"/>
  </cols>
  <sheetData>
    <row r="4" spans="2:13" x14ac:dyDescent="0.3">
      <c r="B4" s="192" t="s">
        <v>282</v>
      </c>
      <c r="C4" s="167" t="s">
        <v>56</v>
      </c>
      <c r="D4" s="164" t="s">
        <v>10</v>
      </c>
      <c r="E4" s="164" t="s">
        <v>283</v>
      </c>
      <c r="F4" s="171" t="s">
        <v>57</v>
      </c>
      <c r="G4" s="177" t="s">
        <v>58</v>
      </c>
    </row>
    <row r="5" spans="2:13" ht="18" x14ac:dyDescent="0.35">
      <c r="B5" s="191">
        <v>17</v>
      </c>
      <c r="C5" s="166" t="s">
        <v>34</v>
      </c>
      <c r="D5" s="56" t="s">
        <v>81</v>
      </c>
      <c r="E5" s="162">
        <f>SUM('Consulta acomulado'!X:X)</f>
        <v>34</v>
      </c>
      <c r="F5" s="172">
        <f>Catergorias_acomulado[[#This Row],[Aud1y2]]/Catergorias_acomulado[[#Totals],[Aud1y2]]</f>
        <v>7.0833333333333331E-2</v>
      </c>
      <c r="G5" s="176">
        <f>IF(ROW()-ROW(Catergorias_acomulado[#All])=1,Catergorias_acomulado[[#This Row],[%]],Catergorias_acomulado[[#This Row],[%]]+G4)</f>
        <v>7.0833333333333331E-2</v>
      </c>
      <c r="K5" s="38" t="s">
        <v>10</v>
      </c>
      <c r="L5" s="93"/>
      <c r="M5" s="16"/>
    </row>
    <row r="6" spans="2:13" x14ac:dyDescent="0.3">
      <c r="B6" s="191">
        <v>14</v>
      </c>
      <c r="C6" s="166" t="s">
        <v>28</v>
      </c>
      <c r="D6" s="71" t="s">
        <v>63</v>
      </c>
      <c r="E6" s="162">
        <f>SUM('Consulta acomulado'!V:V)</f>
        <v>32</v>
      </c>
      <c r="F6" s="172">
        <f>Catergorias_acomulado[[#This Row],[Aud1y2]]/Catergorias_acomulado[[#Totals],[Aud1y2]]</f>
        <v>6.6666666666666666E-2</v>
      </c>
      <c r="G6" s="176">
        <f>IF(ROW()-ROW(Catergorias_acomulado[#All])=1,Catergorias_acomulado[[#This Row],[%]],Catergorias_acomulado[[#This Row],[%]]+G5)</f>
        <v>0.13750000000000001</v>
      </c>
      <c r="J6">
        <v>1</v>
      </c>
      <c r="K6" s="200" t="s">
        <v>276</v>
      </c>
      <c r="L6" s="221"/>
      <c r="M6" s="201"/>
    </row>
    <row r="7" spans="2:13" x14ac:dyDescent="0.3">
      <c r="B7" s="191">
        <v>15</v>
      </c>
      <c r="C7" s="166" t="s">
        <v>31</v>
      </c>
      <c r="D7" s="71" t="s">
        <v>79</v>
      </c>
      <c r="E7" s="163">
        <f>SUM('Consulta acomulado'!V:V)</f>
        <v>32</v>
      </c>
      <c r="F7" s="173">
        <f>Catergorias_acomulado[[#This Row],[Aud1y2]]/Catergorias_acomulado[[#Totals],[Aud1y2]]</f>
        <v>6.6666666666666666E-2</v>
      </c>
      <c r="G7" s="176">
        <f>IF(ROW()-ROW(Catergorias_acomulado[#All])=1,Catergorias_acomulado[[#This Row],[%]],Catergorias_acomulado[[#This Row],[%]]+G6)</f>
        <v>0.20416666666666666</v>
      </c>
      <c r="J7">
        <v>2</v>
      </c>
      <c r="K7" s="200" t="s">
        <v>265</v>
      </c>
      <c r="L7" s="221"/>
      <c r="M7" s="201"/>
    </row>
    <row r="8" spans="2:13" ht="18" x14ac:dyDescent="0.35">
      <c r="B8" s="191">
        <v>8</v>
      </c>
      <c r="C8" s="166" t="s">
        <v>20</v>
      </c>
      <c r="D8" s="71" t="s">
        <v>71</v>
      </c>
      <c r="E8" s="162">
        <f>SUM('Consulta acomulado'!O:O)</f>
        <v>30</v>
      </c>
      <c r="F8" s="172">
        <f>Catergorias_acomulado[[#This Row],[Aud1y2]]/Catergorias_acomulado[[#Totals],[Aud1y2]]</f>
        <v>6.25E-2</v>
      </c>
      <c r="G8" s="176">
        <f>IF(ROW()-ROW(Catergorias_acomulado[#All])=1,Catergorias_acomulado[[#This Row],[%]],Catergorias_acomulado[[#This Row],[%]]+G7)</f>
        <v>0.26666666666666666</v>
      </c>
      <c r="K8" s="38" t="s">
        <v>16</v>
      </c>
      <c r="L8" s="93"/>
      <c r="M8" s="15"/>
    </row>
    <row r="9" spans="2:13" x14ac:dyDescent="0.3">
      <c r="B9" s="191">
        <v>9</v>
      </c>
      <c r="C9" s="166" t="s">
        <v>20</v>
      </c>
      <c r="D9" s="71" t="s">
        <v>268</v>
      </c>
      <c r="E9" s="162">
        <f>SUM('Consulta acomulado'!P:P)</f>
        <v>28</v>
      </c>
      <c r="F9" s="172">
        <f>Catergorias_acomulado[[#This Row],[Aud1y2]]/Catergorias_acomulado[[#Totals],[Aud1y2]]</f>
        <v>5.8333333333333334E-2</v>
      </c>
      <c r="G9" s="176">
        <f>IF(ROW()-ROW(Catergorias_acomulado[#All])=1,Catergorias_acomulado[[#This Row],[%]],Catergorias_acomulado[[#This Row],[%]]+G8)</f>
        <v>0.32500000000000001</v>
      </c>
      <c r="J9">
        <v>3</v>
      </c>
      <c r="K9" s="218" t="s">
        <v>266</v>
      </c>
      <c r="L9" s="219"/>
      <c r="M9" s="219"/>
    </row>
    <row r="10" spans="2:13" x14ac:dyDescent="0.3">
      <c r="B10" s="191">
        <v>5</v>
      </c>
      <c r="C10" s="166" t="s">
        <v>16</v>
      </c>
      <c r="D10" s="71" t="s">
        <v>85</v>
      </c>
      <c r="E10" s="162">
        <f>SUM('Consulta acomulado'!L:L)</f>
        <v>27</v>
      </c>
      <c r="F10" s="172">
        <f>Catergorias_acomulado[[#This Row],[Aud1y2]]/Catergorias_acomulado[[#Totals],[Aud1y2]]</f>
        <v>5.6250000000000001E-2</v>
      </c>
      <c r="G10" s="176">
        <f>IF(ROW()-ROW(Catergorias_acomulado[#All])=1,Catergorias_acomulado[[#This Row],[%]],Catergorias_acomulado[[#This Row],[%]]+G9)</f>
        <v>0.38125000000000003</v>
      </c>
      <c r="J10">
        <v>4</v>
      </c>
      <c r="K10" s="218" t="s">
        <v>91</v>
      </c>
      <c r="L10" s="219"/>
      <c r="M10" s="219"/>
    </row>
    <row r="11" spans="2:13" x14ac:dyDescent="0.3">
      <c r="B11" s="191">
        <v>2</v>
      </c>
      <c r="C11" s="166" t="s">
        <v>10</v>
      </c>
      <c r="D11" s="71" t="s">
        <v>265</v>
      </c>
      <c r="E11" s="161">
        <f>SUM('Consulta acomulado'!I:I)</f>
        <v>26</v>
      </c>
      <c r="F11" s="174">
        <f>Catergorias_acomulado[[#This Row],[Aud1y2]]/Catergorias_acomulado[[#Totals],[Aud1y2]]</f>
        <v>5.4166666666666669E-2</v>
      </c>
      <c r="G11" s="176">
        <f>IF(ROW()-ROW(Catergorias_acomulado[#All])=1,Catergorias_acomulado[[#This Row],[%]],Catergorias_acomulado[[#This Row],[%]]+G10)</f>
        <v>0.43541666666666667</v>
      </c>
      <c r="J11">
        <v>5</v>
      </c>
      <c r="K11" s="200" t="s">
        <v>85</v>
      </c>
      <c r="L11" s="221"/>
      <c r="M11" s="221"/>
    </row>
    <row r="12" spans="2:13" ht="18" x14ac:dyDescent="0.35">
      <c r="B12" s="191">
        <v>3</v>
      </c>
      <c r="C12" s="166" t="s">
        <v>16</v>
      </c>
      <c r="D12" s="56" t="s">
        <v>266</v>
      </c>
      <c r="E12" s="161">
        <f>SUM('Consulta acomulado'!J:J)</f>
        <v>26</v>
      </c>
      <c r="F12" s="172">
        <f>Catergorias_acomulado[[#This Row],[Aud1y2]]/Catergorias_acomulado[[#Totals],[Aud1y2]]</f>
        <v>5.4166666666666669E-2</v>
      </c>
      <c r="G12" s="176">
        <f>IF(ROW()-ROW(Catergorias_acomulado[#All])=1,Catergorias_acomulado[[#This Row],[%]],Catergorias_acomulado[[#This Row],[%]]+G11)</f>
        <v>0.48958333333333337</v>
      </c>
      <c r="K12" s="38" t="s">
        <v>20</v>
      </c>
      <c r="L12" s="93"/>
      <c r="M12" s="16"/>
    </row>
    <row r="13" spans="2:13" x14ac:dyDescent="0.3">
      <c r="B13" s="191">
        <v>7</v>
      </c>
      <c r="C13" s="166" t="s">
        <v>20</v>
      </c>
      <c r="D13" s="71" t="s">
        <v>59</v>
      </c>
      <c r="E13" s="162">
        <f>SUM('Consulta acomulado'!N:N)</f>
        <v>25</v>
      </c>
      <c r="F13" s="172">
        <f>Catergorias_acomulado[[#This Row],[Aud1y2]]/Catergorias_acomulado[[#Totals],[Aud1y2]]</f>
        <v>5.2083333333333336E-2</v>
      </c>
      <c r="G13" s="176">
        <f>IF(ROW()-ROW(Catergorias_acomulado[#All])=1,Catergorias_acomulado[[#This Row],[%]],Catergorias_acomulado[[#This Row],[%]]+G12)</f>
        <v>0.54166666666666674</v>
      </c>
      <c r="J13">
        <v>6</v>
      </c>
      <c r="K13" s="200" t="s">
        <v>267</v>
      </c>
      <c r="L13" s="221"/>
      <c r="M13" s="201"/>
    </row>
    <row r="14" spans="2:13" x14ac:dyDescent="0.3">
      <c r="B14" s="191">
        <v>13</v>
      </c>
      <c r="C14" s="166" t="s">
        <v>28</v>
      </c>
      <c r="D14" s="71" t="s">
        <v>78</v>
      </c>
      <c r="E14" s="162">
        <f>SUM('Consulta acomulado'!T:T)</f>
        <v>25</v>
      </c>
      <c r="F14" s="172">
        <f>Catergorias_acomulado[[#This Row],[Aud1y2]]/Catergorias_acomulado[[#Totals],[Aud1y2]]</f>
        <v>5.2083333333333336E-2</v>
      </c>
      <c r="G14" s="176">
        <f>IF(ROW()-ROW(Catergorias_acomulado[#All])=1,Catergorias_acomulado[[#This Row],[%]],Catergorias_acomulado[[#This Row],[%]]+G13)</f>
        <v>0.59375000000000011</v>
      </c>
      <c r="J14">
        <v>7</v>
      </c>
      <c r="K14" s="200" t="s">
        <v>277</v>
      </c>
      <c r="L14" s="221"/>
      <c r="M14" s="201"/>
    </row>
    <row r="15" spans="2:13" x14ac:dyDescent="0.3">
      <c r="B15" s="191">
        <v>6</v>
      </c>
      <c r="C15" s="166" t="s">
        <v>20</v>
      </c>
      <c r="D15" s="71" t="s">
        <v>267</v>
      </c>
      <c r="E15" s="162">
        <f>SUM('Consulta acomulado'!M:M)</f>
        <v>24</v>
      </c>
      <c r="F15" s="172">
        <f>Catergorias_acomulado[[#This Row],[Aud1y2]]/Catergorias_acomulado[[#Totals],[Aud1y2]]</f>
        <v>0.05</v>
      </c>
      <c r="G15" s="176">
        <f>IF(ROW()-ROW(Catergorias_acomulado[#All])=1,Catergorias_acomulado[[#This Row],[%]],Catergorias_acomulado[[#This Row],[%]]+G14)</f>
        <v>0.64375000000000016</v>
      </c>
      <c r="J15">
        <v>8</v>
      </c>
      <c r="K15" s="158" t="s">
        <v>71</v>
      </c>
      <c r="L15" s="160"/>
      <c r="M15" s="159"/>
    </row>
    <row r="16" spans="2:13" ht="14.4" customHeight="1" x14ac:dyDescent="0.3">
      <c r="B16" s="191">
        <v>11</v>
      </c>
      <c r="C16" s="166" t="s">
        <v>20</v>
      </c>
      <c r="D16" s="71" t="s">
        <v>62</v>
      </c>
      <c r="E16" s="162">
        <f>SUM('Consulta acomulado'!R:R)</f>
        <v>24</v>
      </c>
      <c r="F16" s="172">
        <f>Catergorias_acomulado[[#This Row],[Aud1y2]]/Catergorias_acomulado[[#Totals],[Aud1y2]]</f>
        <v>0.05</v>
      </c>
      <c r="G16" s="176">
        <f>IF(ROW()-ROW(Catergorias_acomulado[#All])=1,Catergorias_acomulado[[#This Row],[%]],Catergorias_acomulado[[#This Row],[%]]+G15)</f>
        <v>0.6937500000000002</v>
      </c>
      <c r="J16">
        <v>9</v>
      </c>
      <c r="K16" s="200" t="s">
        <v>268</v>
      </c>
      <c r="L16" s="221"/>
      <c r="M16" s="201"/>
    </row>
    <row r="17" spans="2:13" x14ac:dyDescent="0.3">
      <c r="B17" s="191">
        <v>4</v>
      </c>
      <c r="C17" s="166" t="s">
        <v>16</v>
      </c>
      <c r="D17" s="56" t="s">
        <v>91</v>
      </c>
      <c r="E17" s="161">
        <f>SUM('Consulta acomulado'!K:K)</f>
        <v>22</v>
      </c>
      <c r="F17" s="172">
        <f>Catergorias_acomulado[[#This Row],[Aud1y2]]/Catergorias_acomulado[[#Totals],[Aud1y2]]</f>
        <v>4.583333333333333E-2</v>
      </c>
      <c r="G17" s="176">
        <f>IF(ROW()-ROW(Catergorias_acomulado[#All])=1,Catergorias_acomulado[[#This Row],[%]],Catergorias_acomulado[[#This Row],[%]]+G16)</f>
        <v>0.73958333333333348</v>
      </c>
      <c r="J17">
        <v>10</v>
      </c>
      <c r="K17" s="200" t="s">
        <v>278</v>
      </c>
      <c r="L17" s="221"/>
      <c r="M17" s="201"/>
    </row>
    <row r="18" spans="2:13" ht="27.6" x14ac:dyDescent="0.3">
      <c r="B18" s="191">
        <v>12</v>
      </c>
      <c r="C18" s="166" t="s">
        <v>20</v>
      </c>
      <c r="D18" s="165" t="s">
        <v>86</v>
      </c>
      <c r="E18" s="162">
        <f>SUM('Consulta acomulado'!S:S)</f>
        <v>22</v>
      </c>
      <c r="F18" s="172">
        <f>Catergorias_acomulado[[#This Row],[Aud1y2]]/Catergorias_acomulado[[#Totals],[Aud1y2]]</f>
        <v>4.583333333333333E-2</v>
      </c>
      <c r="G18" s="176">
        <f>IF(ROW()-ROW(Catergorias_acomulado[#All])=1,Catergorias_acomulado[[#This Row],[%]],Catergorias_acomulado[[#This Row],[%]]+G17)</f>
        <v>0.78541666666666676</v>
      </c>
      <c r="J18">
        <v>11</v>
      </c>
      <c r="K18" s="200" t="s">
        <v>279</v>
      </c>
      <c r="L18" s="221"/>
      <c r="M18" s="201"/>
    </row>
    <row r="19" spans="2:13" x14ac:dyDescent="0.3">
      <c r="B19" s="191">
        <v>16</v>
      </c>
      <c r="C19" s="166" t="s">
        <v>31</v>
      </c>
      <c r="D19" s="71" t="s">
        <v>79</v>
      </c>
      <c r="E19" s="163">
        <f>SUM('Consulta acomulado'!W:W)</f>
        <v>21</v>
      </c>
      <c r="F19" s="173">
        <f>Catergorias_acomulado[[#This Row],[Aud1y2]]/Catergorias_acomulado[[#Totals],[Aud1y2]]</f>
        <v>4.3749999999999997E-2</v>
      </c>
      <c r="G19" s="176">
        <f>IF(ROW()-ROW(Catergorias_acomulado[#All])=1,Catergorias_acomulado[[#This Row],[%]],Catergorias_acomulado[[#This Row],[%]]+G18)</f>
        <v>0.82916666666666672</v>
      </c>
      <c r="J19">
        <v>12</v>
      </c>
      <c r="K19" s="222" t="s">
        <v>86</v>
      </c>
      <c r="L19" s="237"/>
      <c r="M19" s="223"/>
    </row>
    <row r="20" spans="2:13" ht="18" x14ac:dyDescent="0.35">
      <c r="B20" s="191">
        <v>18</v>
      </c>
      <c r="C20" s="166" t="s">
        <v>34</v>
      </c>
      <c r="D20" s="56" t="s">
        <v>83</v>
      </c>
      <c r="E20" s="162">
        <f>SUM('Consulta acomulado'!Y:Y)</f>
        <v>21</v>
      </c>
      <c r="F20" s="172">
        <f>Catergorias_acomulado[[#This Row],[Aud1y2]]/Catergorias_acomulado[[#Totals],[Aud1y2]]</f>
        <v>4.3749999999999997E-2</v>
      </c>
      <c r="G20" s="176">
        <f>IF(ROW()-ROW(Catergorias_acomulado[#All])=1,Catergorias_acomulado[[#This Row],[%]],Catergorias_acomulado[[#This Row],[%]]+G19)</f>
        <v>0.87291666666666667</v>
      </c>
      <c r="K20" s="38" t="s">
        <v>28</v>
      </c>
      <c r="L20" s="93"/>
      <c r="M20" s="16"/>
    </row>
    <row r="21" spans="2:13" x14ac:dyDescent="0.3">
      <c r="B21" s="191">
        <v>19</v>
      </c>
      <c r="C21" s="166" t="s">
        <v>34</v>
      </c>
      <c r="D21" s="56" t="s">
        <v>84</v>
      </c>
      <c r="E21" s="162">
        <f>SUM('Consulta acomulado'!Z:Z)</f>
        <v>21</v>
      </c>
      <c r="F21" s="172">
        <f>Catergorias_acomulado[[#This Row],[Aud1y2]]/Catergorias_acomulado[[#Totals],[Aud1y2]]</f>
        <v>4.3749999999999997E-2</v>
      </c>
      <c r="G21" s="176">
        <f>IF(ROW()-ROW(Catergorias_acomulado[#All])=1,Catergorias_acomulado[[#This Row],[%]],Catergorias_acomulado[[#This Row],[%]]+G20)</f>
        <v>0.91666666666666663</v>
      </c>
      <c r="J21">
        <v>13</v>
      </c>
      <c r="K21" s="200" t="s">
        <v>281</v>
      </c>
      <c r="L21" s="221"/>
      <c r="M21" s="201"/>
    </row>
    <row r="22" spans="2:13" x14ac:dyDescent="0.3">
      <c r="B22" s="191">
        <v>1</v>
      </c>
      <c r="C22" s="166" t="s">
        <v>10</v>
      </c>
      <c r="D22" s="71" t="s">
        <v>66</v>
      </c>
      <c r="E22" s="110">
        <f>SUM('Consulta acomulado'!H:H)</f>
        <v>20</v>
      </c>
      <c r="F22" s="174">
        <f>Catergorias_acomulado[[#This Row],[Aud1y2]]/Catergorias_acomulado[[#Totals],[Aud1y2]]</f>
        <v>4.1666666666666664E-2</v>
      </c>
      <c r="G22" s="176">
        <f>IF(ROW()-ROW(Catergorias_acomulado[#All])=1,Catergorias_acomulado[[#This Row],[%]],Catergorias_acomulado[[#This Row],[%]]+G21)</f>
        <v>0.95833333333333326</v>
      </c>
      <c r="J22">
        <v>14</v>
      </c>
      <c r="K22" s="200" t="s">
        <v>280</v>
      </c>
      <c r="L22" s="221"/>
      <c r="M22" s="201"/>
    </row>
    <row r="23" spans="2:13" ht="14.4" customHeight="1" x14ac:dyDescent="0.35">
      <c r="B23" s="191">
        <v>10</v>
      </c>
      <c r="C23" s="168" t="s">
        <v>20</v>
      </c>
      <c r="D23" s="195" t="s">
        <v>69</v>
      </c>
      <c r="E23" s="170">
        <f>SUM('Consulta acomulado'!Q:Q)</f>
        <v>20</v>
      </c>
      <c r="F23" s="175">
        <f>Catergorias_acomulado[[#This Row],[Aud1y2]]/Catergorias_acomulado[[#Totals],[Aud1y2]]</f>
        <v>4.1666666666666664E-2</v>
      </c>
      <c r="G23" s="178">
        <f>IF(ROW()-ROW(Catergorias_acomulado[#All])=1,Catergorias_acomulado[[#This Row],[%]],Catergorias_acomulado[[#This Row],[%]]+G22)</f>
        <v>0.99999999999999989</v>
      </c>
      <c r="K23" s="38" t="s">
        <v>31</v>
      </c>
      <c r="L23" s="93"/>
      <c r="M23" s="15"/>
    </row>
    <row r="24" spans="2:13" x14ac:dyDescent="0.3">
      <c r="B24" s="180"/>
      <c r="C24" s="168"/>
      <c r="D24" s="169"/>
      <c r="E24" s="170">
        <f>SUM(Catergorias_acomulado[Aud1y2])</f>
        <v>480</v>
      </c>
      <c r="F24" s="193"/>
      <c r="G24" s="194"/>
      <c r="J24">
        <v>15</v>
      </c>
      <c r="K24" s="158" t="s">
        <v>79</v>
      </c>
      <c r="L24" s="160"/>
      <c r="M24" s="160"/>
    </row>
    <row r="25" spans="2:13" x14ac:dyDescent="0.3">
      <c r="J25">
        <v>16</v>
      </c>
      <c r="K25" s="158" t="s">
        <v>79</v>
      </c>
      <c r="L25" s="160"/>
      <c r="M25" s="160"/>
    </row>
    <row r="26" spans="2:13" ht="18" x14ac:dyDescent="0.35">
      <c r="K26" s="38" t="s">
        <v>34</v>
      </c>
      <c r="L26" s="93"/>
      <c r="M26" s="31"/>
    </row>
    <row r="27" spans="2:13" x14ac:dyDescent="0.3">
      <c r="J27">
        <v>17</v>
      </c>
      <c r="K27" s="218" t="s">
        <v>81</v>
      </c>
      <c r="L27" s="219"/>
      <c r="M27" s="219"/>
    </row>
    <row r="28" spans="2:13" x14ac:dyDescent="0.3">
      <c r="J28">
        <v>18</v>
      </c>
      <c r="K28" s="218" t="s">
        <v>83</v>
      </c>
      <c r="L28" s="219"/>
      <c r="M28" s="219"/>
    </row>
    <row r="29" spans="2:13" x14ac:dyDescent="0.3">
      <c r="J29">
        <v>19</v>
      </c>
      <c r="K29" s="218" t="s">
        <v>84</v>
      </c>
      <c r="L29" s="219"/>
      <c r="M29" s="219"/>
    </row>
  </sheetData>
  <mergeCells count="16">
    <mergeCell ref="K22:M22"/>
    <mergeCell ref="K27:M27"/>
    <mergeCell ref="K28:M28"/>
    <mergeCell ref="K29:M29"/>
    <mergeCell ref="K14:M14"/>
    <mergeCell ref="K16:M16"/>
    <mergeCell ref="K17:M17"/>
    <mergeCell ref="K18:M18"/>
    <mergeCell ref="K19:M19"/>
    <mergeCell ref="K21:M21"/>
    <mergeCell ref="K13:M13"/>
    <mergeCell ref="K6:M6"/>
    <mergeCell ref="K7:M7"/>
    <mergeCell ref="K9:M9"/>
    <mergeCell ref="K10:M10"/>
    <mergeCell ref="K11:M1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G80"/>
  <sheetViews>
    <sheetView topLeftCell="A2" zoomScale="70" zoomScaleNormal="70" workbookViewId="0">
      <selection activeCell="F46" sqref="F46"/>
    </sheetView>
  </sheetViews>
  <sheetFormatPr defaultRowHeight="14.4" x14ac:dyDescent="0.3"/>
  <cols>
    <col min="1" max="1" width="13.109375" style="58" customWidth="1"/>
    <col min="3" max="3" width="11.44140625" customWidth="1"/>
    <col min="6" max="6" width="87.88671875" customWidth="1"/>
  </cols>
  <sheetData>
    <row r="5" spans="1:1" ht="18" x14ac:dyDescent="0.35">
      <c r="A5" s="61"/>
    </row>
    <row r="6" spans="1:1" x14ac:dyDescent="0.3">
      <c r="A6" s="68"/>
    </row>
    <row r="7" spans="1:1" x14ac:dyDescent="0.3">
      <c r="A7" s="68"/>
    </row>
    <row r="8" spans="1:1" x14ac:dyDescent="0.3">
      <c r="A8" s="68"/>
    </row>
    <row r="9" spans="1:1" x14ac:dyDescent="0.3">
      <c r="A9" s="68"/>
    </row>
    <row r="10" spans="1:1" x14ac:dyDescent="0.3">
      <c r="A10" s="68"/>
    </row>
    <row r="11" spans="1:1" x14ac:dyDescent="0.3">
      <c r="A11" s="68"/>
    </row>
    <row r="12" spans="1:1" x14ac:dyDescent="0.3">
      <c r="A12" s="68"/>
    </row>
    <row r="13" spans="1:1" x14ac:dyDescent="0.3">
      <c r="A13" s="68"/>
    </row>
    <row r="14" spans="1:1" x14ac:dyDescent="0.3">
      <c r="A14" s="68"/>
    </row>
    <row r="15" spans="1:1" x14ac:dyDescent="0.3">
      <c r="A15" s="68"/>
    </row>
    <row r="16" spans="1:1" x14ac:dyDescent="0.3">
      <c r="A16" s="68"/>
    </row>
    <row r="17" spans="1:1" x14ac:dyDescent="0.3">
      <c r="A17" s="68"/>
    </row>
    <row r="18" spans="1:1" x14ac:dyDescent="0.3">
      <c r="A18" s="78"/>
    </row>
    <row r="19" spans="1:1" x14ac:dyDescent="0.3">
      <c r="A19" s="78"/>
    </row>
    <row r="20" spans="1:1" x14ac:dyDescent="0.3">
      <c r="A20" s="78"/>
    </row>
    <row r="21" spans="1:1" x14ac:dyDescent="0.3">
      <c r="A21" s="78"/>
    </row>
    <row r="22" spans="1:1" x14ac:dyDescent="0.3">
      <c r="A22" s="78"/>
    </row>
    <row r="23" spans="1:1" x14ac:dyDescent="0.3">
      <c r="A23" s="78"/>
    </row>
    <row r="24" spans="1:1" x14ac:dyDescent="0.3">
      <c r="A24" s="78"/>
    </row>
    <row r="50" spans="2:7" x14ac:dyDescent="0.3">
      <c r="B50" s="101" t="s">
        <v>87</v>
      </c>
      <c r="C50" t="s">
        <v>269</v>
      </c>
      <c r="D50" t="s">
        <v>89</v>
      </c>
      <c r="E50" s="80"/>
      <c r="F50" s="89"/>
      <c r="G50" s="90"/>
    </row>
    <row r="51" spans="2:7" x14ac:dyDescent="0.3">
      <c r="B51" s="81" t="s">
        <v>20</v>
      </c>
      <c r="C51" s="82">
        <v>10</v>
      </c>
      <c r="D51" s="83">
        <v>0.36842105263157893</v>
      </c>
      <c r="E51" s="80"/>
      <c r="F51" s="90"/>
      <c r="G51" s="90"/>
    </row>
    <row r="52" spans="2:7" x14ac:dyDescent="0.3">
      <c r="B52" s="81" t="s">
        <v>16</v>
      </c>
      <c r="C52" s="82">
        <v>8</v>
      </c>
      <c r="D52" s="83">
        <v>0.52631578947368418</v>
      </c>
      <c r="E52" s="80"/>
      <c r="F52" s="90"/>
      <c r="G52" s="90"/>
    </row>
    <row r="53" spans="2:7" x14ac:dyDescent="0.3">
      <c r="B53" s="81" t="s">
        <v>31</v>
      </c>
      <c r="C53" s="82">
        <v>7</v>
      </c>
      <c r="D53" s="83">
        <v>0.63157894736842102</v>
      </c>
      <c r="E53" s="80"/>
      <c r="F53" s="89"/>
      <c r="G53" s="90"/>
    </row>
    <row r="54" spans="2:7" x14ac:dyDescent="0.3">
      <c r="B54" s="81" t="s">
        <v>34</v>
      </c>
      <c r="C54" s="82">
        <v>2</v>
      </c>
      <c r="D54" s="83">
        <v>0.78947368421052633</v>
      </c>
      <c r="E54" s="80"/>
      <c r="F54" s="90"/>
      <c r="G54" s="90"/>
    </row>
    <row r="55" spans="2:7" x14ac:dyDescent="0.3">
      <c r="B55" s="81" t="s">
        <v>28</v>
      </c>
      <c r="C55" s="82">
        <v>2</v>
      </c>
      <c r="D55" s="83">
        <v>0.89473684210526316</v>
      </c>
      <c r="E55" s="80"/>
      <c r="F55" s="90"/>
      <c r="G55" s="90"/>
    </row>
    <row r="56" spans="2:7" x14ac:dyDescent="0.3">
      <c r="B56" s="81" t="s">
        <v>10</v>
      </c>
      <c r="C56" s="82">
        <v>1</v>
      </c>
      <c r="D56" s="83">
        <v>1</v>
      </c>
      <c r="E56" s="80"/>
      <c r="F56" s="90"/>
      <c r="G56" s="90"/>
    </row>
    <row r="57" spans="2:7" x14ac:dyDescent="0.3">
      <c r="E57" s="80"/>
      <c r="F57" s="89"/>
      <c r="G57" s="90"/>
    </row>
    <row r="58" spans="2:7" x14ac:dyDescent="0.3">
      <c r="E58" s="80"/>
      <c r="F58" s="90"/>
      <c r="G58" s="90"/>
    </row>
    <row r="59" spans="2:7" x14ac:dyDescent="0.3">
      <c r="E59" s="80"/>
      <c r="F59" s="90"/>
      <c r="G59" s="90"/>
    </row>
    <row r="60" spans="2:7" x14ac:dyDescent="0.3">
      <c r="E60" s="80"/>
      <c r="F60" s="90"/>
      <c r="G60" s="90"/>
    </row>
    <row r="61" spans="2:7" x14ac:dyDescent="0.3">
      <c r="B61" s="101" t="s">
        <v>87</v>
      </c>
      <c r="C61" t="s">
        <v>269</v>
      </c>
      <c r="D61" t="s">
        <v>270</v>
      </c>
      <c r="F61" s="90"/>
      <c r="G61" s="90"/>
    </row>
    <row r="62" spans="2:7" x14ac:dyDescent="0.3">
      <c r="B62" s="81" t="s">
        <v>79</v>
      </c>
      <c r="C62" s="82">
        <v>7</v>
      </c>
      <c r="D62" s="83">
        <v>0.23333333333333334</v>
      </c>
      <c r="E62" s="85">
        <f>IF(D62=$D$62,D62,D62+#REF!)</f>
        <v>0.23333333333333334</v>
      </c>
      <c r="F62" s="90"/>
      <c r="G62" s="90"/>
    </row>
    <row r="63" spans="2:7" x14ac:dyDescent="0.3">
      <c r="B63" s="81" t="s">
        <v>91</v>
      </c>
      <c r="C63" s="82">
        <v>4</v>
      </c>
      <c r="D63" s="83">
        <v>0.13333333333333333</v>
      </c>
      <c r="E63" s="85">
        <f t="shared" ref="E63:E79" si="0">IF(D63=$D$62,D63,D63+E62)</f>
        <v>0.3666666666666667</v>
      </c>
      <c r="F63" s="90"/>
      <c r="G63" s="90"/>
    </row>
    <row r="64" spans="2:7" x14ac:dyDescent="0.3">
      <c r="B64" s="81" t="s">
        <v>267</v>
      </c>
      <c r="C64" s="82">
        <v>4</v>
      </c>
      <c r="D64" s="83">
        <v>0.13333333333333333</v>
      </c>
      <c r="E64" s="85">
        <f t="shared" si="0"/>
        <v>0.5</v>
      </c>
      <c r="F64" s="90"/>
      <c r="G64" s="90"/>
    </row>
    <row r="65" spans="2:7" x14ac:dyDescent="0.3">
      <c r="B65" s="81" t="s">
        <v>266</v>
      </c>
      <c r="C65" s="82">
        <v>3</v>
      </c>
      <c r="D65" s="83">
        <v>0.1</v>
      </c>
      <c r="E65" s="85">
        <f t="shared" si="0"/>
        <v>0.6</v>
      </c>
      <c r="F65" s="89"/>
      <c r="G65" s="90"/>
    </row>
    <row r="66" spans="2:7" x14ac:dyDescent="0.3">
      <c r="B66" s="81" t="s">
        <v>71</v>
      </c>
      <c r="C66" s="82">
        <v>2</v>
      </c>
      <c r="D66" s="83">
        <v>6.6666666666666666E-2</v>
      </c>
      <c r="E66" s="85">
        <f t="shared" si="0"/>
        <v>0.66666666666666663</v>
      </c>
      <c r="F66" s="179"/>
      <c r="G66" s="90"/>
    </row>
    <row r="67" spans="2:7" x14ac:dyDescent="0.3">
      <c r="B67" s="81" t="s">
        <v>78</v>
      </c>
      <c r="C67" s="82">
        <v>2</v>
      </c>
      <c r="D67" s="83">
        <v>6.6666666666666666E-2</v>
      </c>
      <c r="E67" s="85">
        <f t="shared" si="0"/>
        <v>0.73333333333333328</v>
      </c>
      <c r="F67" s="90"/>
      <c r="G67" s="90"/>
    </row>
    <row r="68" spans="2:7" x14ac:dyDescent="0.3">
      <c r="B68" s="81" t="s">
        <v>268</v>
      </c>
      <c r="C68" s="82">
        <v>1</v>
      </c>
      <c r="D68" s="83">
        <v>3.3333333333333333E-2</v>
      </c>
      <c r="E68" s="85">
        <f t="shared" si="0"/>
        <v>0.76666666666666661</v>
      </c>
      <c r="F68" s="89"/>
      <c r="G68" s="90"/>
    </row>
    <row r="69" spans="2:7" x14ac:dyDescent="0.3">
      <c r="B69" s="81" t="s">
        <v>66</v>
      </c>
      <c r="C69" s="82">
        <v>1</v>
      </c>
      <c r="D69" s="83">
        <v>3.3333333333333333E-2</v>
      </c>
      <c r="E69" s="85">
        <f t="shared" si="0"/>
        <v>0.79999999999999993</v>
      </c>
      <c r="F69" s="90"/>
      <c r="G69" s="90"/>
    </row>
    <row r="70" spans="2:7" x14ac:dyDescent="0.3">
      <c r="B70" s="81" t="s">
        <v>84</v>
      </c>
      <c r="C70" s="82">
        <v>1</v>
      </c>
      <c r="D70" s="83">
        <v>3.3333333333333333E-2</v>
      </c>
      <c r="E70" s="85">
        <f t="shared" si="0"/>
        <v>0.83333333333333326</v>
      </c>
      <c r="F70" s="90"/>
      <c r="G70" s="90"/>
    </row>
    <row r="71" spans="2:7" x14ac:dyDescent="0.3">
      <c r="B71" s="81" t="s">
        <v>59</v>
      </c>
      <c r="C71" s="82">
        <v>1</v>
      </c>
      <c r="D71" s="83">
        <v>3.3333333333333333E-2</v>
      </c>
      <c r="E71" s="85">
        <f t="shared" si="0"/>
        <v>0.86666666666666659</v>
      </c>
      <c r="F71" s="89"/>
      <c r="G71" s="90"/>
    </row>
    <row r="72" spans="2:7" x14ac:dyDescent="0.3">
      <c r="B72" s="81" t="s">
        <v>62</v>
      </c>
      <c r="C72" s="82">
        <v>1</v>
      </c>
      <c r="D72" s="83">
        <v>3.3333333333333333E-2</v>
      </c>
      <c r="E72" s="85">
        <f t="shared" si="0"/>
        <v>0.89999999999999991</v>
      </c>
      <c r="F72" s="90"/>
      <c r="G72" s="90"/>
    </row>
    <row r="73" spans="2:7" x14ac:dyDescent="0.3">
      <c r="B73" s="81" t="s">
        <v>83</v>
      </c>
      <c r="C73" s="82">
        <v>1</v>
      </c>
      <c r="D73" s="83">
        <v>3.3333333333333333E-2</v>
      </c>
      <c r="E73" s="85">
        <f t="shared" si="0"/>
        <v>0.93333333333333324</v>
      </c>
      <c r="F73" s="90"/>
      <c r="G73" s="90"/>
    </row>
    <row r="74" spans="2:7" x14ac:dyDescent="0.3">
      <c r="B74" s="81" t="s">
        <v>69</v>
      </c>
      <c r="C74" s="82">
        <v>1</v>
      </c>
      <c r="D74" s="83">
        <v>3.3333333333333333E-2</v>
      </c>
      <c r="E74" s="85">
        <f t="shared" si="0"/>
        <v>0.96666666666666656</v>
      </c>
      <c r="F74" s="90"/>
      <c r="G74" s="90"/>
    </row>
    <row r="75" spans="2:7" x14ac:dyDescent="0.3">
      <c r="B75" s="81" t="s">
        <v>85</v>
      </c>
      <c r="C75" s="82">
        <v>1</v>
      </c>
      <c r="D75" s="83">
        <v>3.3333333333333333E-2</v>
      </c>
      <c r="E75" s="85">
        <f t="shared" si="0"/>
        <v>0.99999999999999989</v>
      </c>
      <c r="F75" s="90"/>
      <c r="G75" s="90"/>
    </row>
    <row r="76" spans="2:7" x14ac:dyDescent="0.3">
      <c r="B76" s="81" t="s">
        <v>265</v>
      </c>
      <c r="C76" s="82">
        <v>0</v>
      </c>
      <c r="D76" s="83">
        <v>0</v>
      </c>
      <c r="E76" s="85">
        <f t="shared" si="0"/>
        <v>0.99999999999999989</v>
      </c>
    </row>
    <row r="77" spans="2:7" x14ac:dyDescent="0.3">
      <c r="B77" s="81" t="s">
        <v>81</v>
      </c>
      <c r="C77" s="82">
        <v>0</v>
      </c>
      <c r="D77" s="83">
        <v>0</v>
      </c>
      <c r="E77" s="85">
        <f t="shared" si="0"/>
        <v>0.99999999999999989</v>
      </c>
    </row>
    <row r="78" spans="2:7" x14ac:dyDescent="0.3">
      <c r="B78" s="81" t="s">
        <v>86</v>
      </c>
      <c r="C78" s="82">
        <v>0</v>
      </c>
      <c r="D78" s="83">
        <v>0</v>
      </c>
      <c r="E78" s="85">
        <f t="shared" si="0"/>
        <v>0.99999999999999989</v>
      </c>
    </row>
    <row r="79" spans="2:7" x14ac:dyDescent="0.3">
      <c r="B79" s="81" t="s">
        <v>63</v>
      </c>
      <c r="C79" s="82">
        <v>0</v>
      </c>
      <c r="D79" s="83">
        <v>0</v>
      </c>
      <c r="E79" s="85">
        <f t="shared" si="0"/>
        <v>0.99999999999999989</v>
      </c>
    </row>
    <row r="80" spans="2:7" x14ac:dyDescent="0.3">
      <c r="B80" s="81" t="s">
        <v>90</v>
      </c>
      <c r="C80" s="82">
        <v>30</v>
      </c>
      <c r="D80" s="83">
        <v>0.99999999999999989</v>
      </c>
    </row>
  </sheetData>
  <pageMargins left="0.7" right="0.7" top="0.75" bottom="0.75" header="0.3" footer="0.3"/>
  <pageSetup orientation="portrait" r:id="rId3"/>
  <drawing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G80"/>
  <sheetViews>
    <sheetView topLeftCell="B19" zoomScale="70" zoomScaleNormal="70" workbookViewId="0">
      <selection activeCell="B50" sqref="B50"/>
    </sheetView>
  </sheetViews>
  <sheetFormatPr defaultRowHeight="14.4" x14ac:dyDescent="0.3"/>
  <cols>
    <col min="1" max="1" width="13.109375" style="58" customWidth="1"/>
    <col min="2" max="2" width="13.88671875" customWidth="1"/>
    <col min="3" max="3" width="14.21875" customWidth="1"/>
    <col min="4" max="4" width="18.88671875" bestFit="1" customWidth="1"/>
    <col min="6" max="6" width="87.88671875" customWidth="1"/>
  </cols>
  <sheetData>
    <row r="5" spans="1:1" ht="18" x14ac:dyDescent="0.35">
      <c r="A5" s="61"/>
    </row>
    <row r="6" spans="1:1" x14ac:dyDescent="0.3">
      <c r="A6" s="68"/>
    </row>
    <row r="7" spans="1:1" x14ac:dyDescent="0.3">
      <c r="A7" s="68"/>
    </row>
    <row r="8" spans="1:1" x14ac:dyDescent="0.3">
      <c r="A8" s="68"/>
    </row>
    <row r="9" spans="1:1" x14ac:dyDescent="0.3">
      <c r="A9" s="68"/>
    </row>
    <row r="10" spans="1:1" x14ac:dyDescent="0.3">
      <c r="A10" s="68"/>
    </row>
    <row r="11" spans="1:1" x14ac:dyDescent="0.3">
      <c r="A11" s="68"/>
    </row>
    <row r="12" spans="1:1" x14ac:dyDescent="0.3">
      <c r="A12" s="68"/>
    </row>
    <row r="13" spans="1:1" x14ac:dyDescent="0.3">
      <c r="A13" s="68"/>
    </row>
    <row r="14" spans="1:1" x14ac:dyDescent="0.3">
      <c r="A14" s="68"/>
    </row>
    <row r="15" spans="1:1" x14ac:dyDescent="0.3">
      <c r="A15" s="68"/>
    </row>
    <row r="16" spans="1:1" x14ac:dyDescent="0.3">
      <c r="A16" s="68"/>
    </row>
    <row r="17" spans="1:1" x14ac:dyDescent="0.3">
      <c r="A17" s="68"/>
    </row>
    <row r="18" spans="1:1" x14ac:dyDescent="0.3">
      <c r="A18" s="78"/>
    </row>
    <row r="19" spans="1:1" x14ac:dyDescent="0.3">
      <c r="A19" s="78"/>
    </row>
    <row r="20" spans="1:1" x14ac:dyDescent="0.3">
      <c r="A20" s="78"/>
    </row>
    <row r="21" spans="1:1" x14ac:dyDescent="0.3">
      <c r="A21" s="78"/>
    </row>
    <row r="22" spans="1:1" x14ac:dyDescent="0.3">
      <c r="A22" s="78"/>
    </row>
    <row r="23" spans="1:1" x14ac:dyDescent="0.3">
      <c r="A23" s="78"/>
    </row>
    <row r="24" spans="1:1" x14ac:dyDescent="0.3">
      <c r="A24" s="78"/>
    </row>
    <row r="50" spans="2:7" x14ac:dyDescent="0.3">
      <c r="B50" s="101" t="s">
        <v>87</v>
      </c>
      <c r="C50" t="s">
        <v>284</v>
      </c>
      <c r="D50" t="s">
        <v>89</v>
      </c>
      <c r="E50" s="80"/>
      <c r="F50" s="89"/>
      <c r="G50" s="90"/>
    </row>
    <row r="51" spans="2:7" x14ac:dyDescent="0.3">
      <c r="B51" s="81" t="s">
        <v>20</v>
      </c>
      <c r="C51" s="82">
        <v>173</v>
      </c>
      <c r="D51" s="83">
        <v>0.36842105263157893</v>
      </c>
      <c r="E51" s="80"/>
      <c r="F51" s="90"/>
      <c r="G51" s="90"/>
    </row>
    <row r="52" spans="2:7" x14ac:dyDescent="0.3">
      <c r="B52" s="81" t="s">
        <v>34</v>
      </c>
      <c r="C52" s="82">
        <v>76</v>
      </c>
      <c r="D52" s="83">
        <v>0.52631578947368418</v>
      </c>
      <c r="E52" s="80"/>
      <c r="F52" s="90"/>
      <c r="G52" s="90"/>
    </row>
    <row r="53" spans="2:7" x14ac:dyDescent="0.3">
      <c r="B53" s="81" t="s">
        <v>16</v>
      </c>
      <c r="C53" s="82">
        <v>75</v>
      </c>
      <c r="D53" s="83">
        <v>0.68421052631578949</v>
      </c>
      <c r="E53" s="80"/>
      <c r="F53" s="89"/>
      <c r="G53" s="90"/>
    </row>
    <row r="54" spans="2:7" x14ac:dyDescent="0.3">
      <c r="B54" s="81" t="s">
        <v>28</v>
      </c>
      <c r="C54" s="82">
        <v>57</v>
      </c>
      <c r="D54" s="83">
        <v>0.78947368421052633</v>
      </c>
      <c r="E54" s="80"/>
      <c r="F54" s="90"/>
      <c r="G54" s="90"/>
    </row>
    <row r="55" spans="2:7" x14ac:dyDescent="0.3">
      <c r="B55" s="81" t="s">
        <v>31</v>
      </c>
      <c r="C55" s="82">
        <v>53</v>
      </c>
      <c r="D55" s="83">
        <v>0.89473684210526316</v>
      </c>
      <c r="E55" s="80"/>
      <c r="F55" s="90"/>
      <c r="G55" s="90"/>
    </row>
    <row r="56" spans="2:7" x14ac:dyDescent="0.3">
      <c r="B56" s="81" t="s">
        <v>10</v>
      </c>
      <c r="C56" s="82">
        <v>46</v>
      </c>
      <c r="D56" s="83">
        <v>1</v>
      </c>
      <c r="E56" s="80"/>
      <c r="F56" s="90"/>
      <c r="G56" s="90"/>
    </row>
    <row r="57" spans="2:7" x14ac:dyDescent="0.3">
      <c r="E57" s="80"/>
      <c r="F57" s="89"/>
      <c r="G57" s="90"/>
    </row>
    <row r="58" spans="2:7" x14ac:dyDescent="0.3">
      <c r="E58" s="80"/>
      <c r="F58" s="90"/>
      <c r="G58" s="90"/>
    </row>
    <row r="59" spans="2:7" x14ac:dyDescent="0.3">
      <c r="E59" s="80"/>
      <c r="F59" s="90"/>
      <c r="G59" s="90"/>
    </row>
    <row r="60" spans="2:7" x14ac:dyDescent="0.3">
      <c r="E60" s="80"/>
      <c r="F60" s="90"/>
      <c r="G60" s="90"/>
    </row>
    <row r="61" spans="2:7" x14ac:dyDescent="0.3">
      <c r="B61" s="101" t="s">
        <v>87</v>
      </c>
      <c r="C61" t="s">
        <v>284</v>
      </c>
      <c r="D61" t="s">
        <v>270</v>
      </c>
      <c r="F61" s="90"/>
      <c r="G61" s="90"/>
    </row>
    <row r="62" spans="2:7" x14ac:dyDescent="0.3">
      <c r="B62" s="81" t="s">
        <v>79</v>
      </c>
      <c r="C62" s="82">
        <v>53</v>
      </c>
      <c r="D62" s="83">
        <v>0.11041666666666666</v>
      </c>
      <c r="E62" s="85">
        <f>IF(D62=$D$62,D62,D62+#REF!)</f>
        <v>0.11041666666666666</v>
      </c>
      <c r="F62" s="90"/>
      <c r="G62" s="90"/>
    </row>
    <row r="63" spans="2:7" x14ac:dyDescent="0.3">
      <c r="B63" s="81" t="s">
        <v>81</v>
      </c>
      <c r="C63" s="82">
        <v>34</v>
      </c>
      <c r="D63" s="83">
        <v>7.0833333333333331E-2</v>
      </c>
      <c r="E63" s="85">
        <f t="shared" ref="E63:E79" si="0">IF(D63=$D$62,D63,D63+E62)</f>
        <v>0.18124999999999999</v>
      </c>
      <c r="F63" s="90"/>
      <c r="G63" s="90"/>
    </row>
    <row r="64" spans="2:7" x14ac:dyDescent="0.3">
      <c r="B64" s="81" t="s">
        <v>63</v>
      </c>
      <c r="C64" s="82">
        <v>32</v>
      </c>
      <c r="D64" s="83">
        <v>6.6666666666666666E-2</v>
      </c>
      <c r="E64" s="85">
        <f t="shared" si="0"/>
        <v>0.24791666666666667</v>
      </c>
      <c r="F64" s="90"/>
      <c r="G64" s="90"/>
    </row>
    <row r="65" spans="2:7" x14ac:dyDescent="0.3">
      <c r="B65" s="81" t="s">
        <v>71</v>
      </c>
      <c r="C65" s="82">
        <v>30</v>
      </c>
      <c r="D65" s="83">
        <v>6.25E-2</v>
      </c>
      <c r="E65" s="85">
        <f t="shared" si="0"/>
        <v>0.31041666666666667</v>
      </c>
      <c r="F65" s="89"/>
      <c r="G65" s="90"/>
    </row>
    <row r="66" spans="2:7" x14ac:dyDescent="0.3">
      <c r="B66" s="81" t="s">
        <v>268</v>
      </c>
      <c r="C66" s="82">
        <v>28</v>
      </c>
      <c r="D66" s="83">
        <v>5.8333333333333334E-2</v>
      </c>
      <c r="E66" s="85">
        <f t="shared" si="0"/>
        <v>0.36875000000000002</v>
      </c>
      <c r="F66" s="179"/>
      <c r="G66" s="90"/>
    </row>
    <row r="67" spans="2:7" x14ac:dyDescent="0.3">
      <c r="B67" s="81" t="s">
        <v>85</v>
      </c>
      <c r="C67" s="82">
        <v>27</v>
      </c>
      <c r="D67" s="83">
        <v>5.6250000000000001E-2</v>
      </c>
      <c r="E67" s="85">
        <f t="shared" si="0"/>
        <v>0.42500000000000004</v>
      </c>
      <c r="F67" s="90"/>
      <c r="G67" s="90"/>
    </row>
    <row r="68" spans="2:7" x14ac:dyDescent="0.3">
      <c r="B68" s="81" t="s">
        <v>266</v>
      </c>
      <c r="C68" s="82">
        <v>26</v>
      </c>
      <c r="D68" s="83">
        <v>5.4166666666666669E-2</v>
      </c>
      <c r="E68" s="85">
        <f t="shared" si="0"/>
        <v>0.47916666666666674</v>
      </c>
      <c r="F68" s="89"/>
      <c r="G68" s="90"/>
    </row>
    <row r="69" spans="2:7" x14ac:dyDescent="0.3">
      <c r="B69" s="81" t="s">
        <v>265</v>
      </c>
      <c r="C69" s="82">
        <v>26</v>
      </c>
      <c r="D69" s="83">
        <v>5.4166666666666669E-2</v>
      </c>
      <c r="E69" s="85">
        <f t="shared" si="0"/>
        <v>0.53333333333333344</v>
      </c>
      <c r="F69" s="90"/>
      <c r="G69" s="90"/>
    </row>
    <row r="70" spans="2:7" x14ac:dyDescent="0.3">
      <c r="B70" s="81" t="s">
        <v>78</v>
      </c>
      <c r="C70" s="82">
        <v>25</v>
      </c>
      <c r="D70" s="83">
        <v>5.2083333333333336E-2</v>
      </c>
      <c r="E70" s="85">
        <f t="shared" si="0"/>
        <v>0.58541666666666681</v>
      </c>
      <c r="F70" s="90"/>
      <c r="G70" s="90"/>
    </row>
    <row r="71" spans="2:7" x14ac:dyDescent="0.3">
      <c r="B71" s="81" t="s">
        <v>59</v>
      </c>
      <c r="C71" s="82">
        <v>25</v>
      </c>
      <c r="D71" s="83">
        <v>5.2083333333333336E-2</v>
      </c>
      <c r="E71" s="85">
        <f t="shared" si="0"/>
        <v>0.63750000000000018</v>
      </c>
      <c r="F71" s="89"/>
      <c r="G71" s="90"/>
    </row>
    <row r="72" spans="2:7" x14ac:dyDescent="0.3">
      <c r="B72" s="81" t="s">
        <v>62</v>
      </c>
      <c r="C72" s="82">
        <v>24</v>
      </c>
      <c r="D72" s="83">
        <v>0.05</v>
      </c>
      <c r="E72" s="85">
        <f t="shared" si="0"/>
        <v>0.68750000000000022</v>
      </c>
      <c r="F72" s="90"/>
      <c r="G72" s="90"/>
    </row>
    <row r="73" spans="2:7" x14ac:dyDescent="0.3">
      <c r="B73" s="81" t="s">
        <v>267</v>
      </c>
      <c r="C73" s="82">
        <v>24</v>
      </c>
      <c r="D73" s="83">
        <v>0.05</v>
      </c>
      <c r="E73" s="85">
        <f t="shared" si="0"/>
        <v>0.73750000000000027</v>
      </c>
      <c r="F73" s="90"/>
      <c r="G73" s="90"/>
    </row>
    <row r="74" spans="2:7" x14ac:dyDescent="0.3">
      <c r="B74" s="81" t="s">
        <v>86</v>
      </c>
      <c r="C74" s="82">
        <v>22</v>
      </c>
      <c r="D74" s="83">
        <v>4.583333333333333E-2</v>
      </c>
      <c r="E74" s="85">
        <f t="shared" si="0"/>
        <v>0.78333333333333355</v>
      </c>
      <c r="F74" s="90"/>
      <c r="G74" s="90"/>
    </row>
    <row r="75" spans="2:7" x14ac:dyDescent="0.3">
      <c r="B75" s="81" t="s">
        <v>91</v>
      </c>
      <c r="C75" s="82">
        <v>22</v>
      </c>
      <c r="D75" s="83">
        <v>4.583333333333333E-2</v>
      </c>
      <c r="E75" s="85">
        <f t="shared" si="0"/>
        <v>0.82916666666666683</v>
      </c>
      <c r="F75" s="90"/>
      <c r="G75" s="90"/>
    </row>
    <row r="76" spans="2:7" x14ac:dyDescent="0.3">
      <c r="B76" s="81" t="s">
        <v>84</v>
      </c>
      <c r="C76" s="82">
        <v>21</v>
      </c>
      <c r="D76" s="83">
        <v>4.3749999999999997E-2</v>
      </c>
      <c r="E76" s="85">
        <f t="shared" si="0"/>
        <v>0.87291666666666679</v>
      </c>
    </row>
    <row r="77" spans="2:7" x14ac:dyDescent="0.3">
      <c r="B77" s="81" t="s">
        <v>83</v>
      </c>
      <c r="C77" s="82">
        <v>21</v>
      </c>
      <c r="D77" s="83">
        <v>4.3749999999999997E-2</v>
      </c>
      <c r="E77" s="85">
        <f t="shared" si="0"/>
        <v>0.91666666666666674</v>
      </c>
    </row>
    <row r="78" spans="2:7" x14ac:dyDescent="0.3">
      <c r="B78" s="81" t="s">
        <v>66</v>
      </c>
      <c r="C78" s="82">
        <v>20</v>
      </c>
      <c r="D78" s="83">
        <v>4.1666666666666664E-2</v>
      </c>
      <c r="E78" s="85">
        <f t="shared" si="0"/>
        <v>0.95833333333333337</v>
      </c>
    </row>
    <row r="79" spans="2:7" x14ac:dyDescent="0.3">
      <c r="B79" s="81" t="s">
        <v>69</v>
      </c>
      <c r="C79" s="82">
        <v>20</v>
      </c>
      <c r="D79" s="83">
        <v>4.1666666666666664E-2</v>
      </c>
      <c r="E79" s="85">
        <f t="shared" si="0"/>
        <v>1</v>
      </c>
    </row>
    <row r="80" spans="2:7" x14ac:dyDescent="0.3">
      <c r="B80" s="81" t="s">
        <v>90</v>
      </c>
      <c r="C80" s="82">
        <v>480</v>
      </c>
      <c r="D80" s="83">
        <v>1</v>
      </c>
    </row>
  </sheetData>
  <pageMargins left="0.7" right="0.7" top="0.75" bottom="0.75" header="0.3" footer="0.3"/>
  <pageSetup orientation="portrait" r:id="rId3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AK38"/>
  <sheetViews>
    <sheetView showGridLines="0" view="pageBreakPreview" zoomScale="25" zoomScaleNormal="25" zoomScaleSheetLayoutView="25" zoomScalePageLayoutView="40" workbookViewId="0">
      <selection activeCell="S4" sqref="S4:AJ34"/>
    </sheetView>
  </sheetViews>
  <sheetFormatPr defaultRowHeight="14.4" x14ac:dyDescent="0.3"/>
  <cols>
    <col min="31" max="31" width="11.44140625" customWidth="1"/>
    <col min="32" max="32" width="18.77734375" bestFit="1" customWidth="1"/>
    <col min="36" max="36" width="10.5546875" customWidth="1"/>
  </cols>
  <sheetData>
    <row r="2" spans="1:37" ht="14.4" customHeight="1" x14ac:dyDescent="0.3">
      <c r="K2" s="272" t="s">
        <v>217</v>
      </c>
      <c r="L2" s="272"/>
      <c r="M2" s="272"/>
      <c r="N2" s="273">
        <f>[2]Dashboard!$E$2</f>
        <v>45123</v>
      </c>
      <c r="O2" s="273"/>
      <c r="AF2" s="274">
        <f>[2]Dashboard!$E$2</f>
        <v>45123</v>
      </c>
    </row>
    <row r="3" spans="1:37" ht="14.4" customHeight="1" x14ac:dyDescent="0.3">
      <c r="K3" s="272"/>
      <c r="L3" s="272"/>
      <c r="M3" s="272"/>
      <c r="N3" s="273"/>
      <c r="O3" s="273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9" t="s">
        <v>217</v>
      </c>
      <c r="AE3" s="140"/>
      <c r="AF3" s="274"/>
      <c r="AG3" s="141"/>
    </row>
    <row r="4" spans="1:37" ht="31.2" customHeight="1" x14ac:dyDescent="0.3">
      <c r="A4" s="271" t="str">
        <f ca="1">CONCATENATE("AUDITORIA S33-S34dia de ",TEXT(TODAY(),"[$-0C0A]dd, mmmm, yyyy"))</f>
        <v>AUDITORIA S33-S34dia de 07, agosto, 2023</v>
      </c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S4" s="271" t="str">
        <f ca="1">CONCATENATE("AUDITORIA S33-S34 dia de ",TEXT(TODAY()+3,"[$-0C0A]dd, mmmm, yyyy"))</f>
        <v>AUDITORIA S33-S34 dia de 10, agosto, 2023</v>
      </c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K4" t="s">
        <v>218</v>
      </c>
    </row>
    <row r="5" spans="1:37" x14ac:dyDescent="0.3">
      <c r="AK5" t="s">
        <v>219</v>
      </c>
    </row>
    <row r="36" spans="1:15" x14ac:dyDescent="0.3">
      <c r="K36" s="272" t="s">
        <v>217</v>
      </c>
      <c r="L36" s="272"/>
      <c r="M36" s="272"/>
      <c r="N36" s="273">
        <f>[2]Dashboard!$E$2</f>
        <v>45123</v>
      </c>
      <c r="O36" s="273"/>
    </row>
    <row r="37" spans="1:15" x14ac:dyDescent="0.3">
      <c r="K37" s="272"/>
      <c r="L37" s="272"/>
      <c r="M37" s="272"/>
      <c r="N37" s="273"/>
      <c r="O37" s="273"/>
    </row>
    <row r="38" spans="1:15" ht="31.2" x14ac:dyDescent="0.3">
      <c r="A38" s="271" t="str">
        <f ca="1">CONCATENATE("AUDITORIA S33-S34 de ",TEXT(TODAY(),"[$-0C0A]dd, mmmm, yyyy"))</f>
        <v>AUDITORIA S33-S34 de 07, agosto, 2023</v>
      </c>
      <c r="B38" s="271"/>
      <c r="C38" s="271"/>
      <c r="D38" s="271"/>
      <c r="E38" s="271"/>
      <c r="F38" s="271"/>
      <c r="G38" s="271"/>
      <c r="H38" s="271"/>
      <c r="I38" s="271"/>
      <c r="J38" s="271"/>
      <c r="K38" s="271"/>
      <c r="L38" s="271"/>
      <c r="M38" s="271"/>
      <c r="N38" s="271"/>
      <c r="O38" s="271"/>
    </row>
  </sheetData>
  <mergeCells count="8">
    <mergeCell ref="A38:O38"/>
    <mergeCell ref="K2:M3"/>
    <mergeCell ref="N2:O3"/>
    <mergeCell ref="AF2:AF3"/>
    <mergeCell ref="A4:O4"/>
    <mergeCell ref="S4:AG4"/>
    <mergeCell ref="K36:M37"/>
    <mergeCell ref="N36:O37"/>
  </mergeCells>
  <pageMargins left="0.25" right="0.25" top="0.75" bottom="0.75" header="0.3" footer="0.3"/>
  <pageSetup scale="76" fitToHeight="0" orientation="landscape" r:id="rId1"/>
  <rowBreaks count="1" manualBreakCount="1">
    <brk id="34" max="16383" man="1"/>
  </rowBreaks>
  <colBreaks count="5" manualBreakCount="5">
    <brk id="17" max="68" man="1"/>
    <brk id="18" max="62" man="1"/>
    <brk id="20" max="1048575" man="1"/>
    <brk id="25" min="34" max="68" man="1"/>
    <brk id="27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Y5"/>
  <sheetViews>
    <sheetView showGridLines="0" view="pageBreakPreview" zoomScale="25" zoomScaleNormal="25" zoomScaleSheetLayoutView="25" zoomScalePageLayoutView="40" workbookViewId="0">
      <selection activeCell="AK1" sqref="AK1:BB34"/>
    </sheetView>
  </sheetViews>
  <sheetFormatPr defaultRowHeight="14.4" x14ac:dyDescent="0.3"/>
  <cols>
    <col min="31" max="31" width="11.44140625" customWidth="1"/>
    <col min="32" max="32" width="18.77734375" bestFit="1" customWidth="1"/>
    <col min="36" max="36" width="10.5546875" customWidth="1"/>
  </cols>
  <sheetData>
    <row r="2" spans="1:51" ht="14.4" customHeight="1" x14ac:dyDescent="0.3">
      <c r="K2" s="272" t="s">
        <v>217</v>
      </c>
      <c r="L2" s="272"/>
      <c r="M2" s="272"/>
      <c r="N2" s="273">
        <f>[2]Dashboard!$E$2</f>
        <v>45123</v>
      </c>
      <c r="O2" s="273"/>
      <c r="AF2" s="274">
        <f>[2]Dashboard!$E$2</f>
        <v>45123</v>
      </c>
    </row>
    <row r="3" spans="1:51" ht="14.4" customHeight="1" x14ac:dyDescent="0.3">
      <c r="K3" s="272"/>
      <c r="L3" s="272"/>
      <c r="M3" s="272"/>
      <c r="N3" s="273"/>
      <c r="O3" s="273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9" t="s">
        <v>217</v>
      </c>
      <c r="AE3" s="140"/>
      <c r="AF3" s="274"/>
      <c r="AG3" s="141"/>
      <c r="AU3" s="272" t="s">
        <v>217</v>
      </c>
      <c r="AV3" s="272"/>
      <c r="AW3" s="272"/>
      <c r="AX3" s="273">
        <f>[2]Dashboard!$E$2</f>
        <v>45123</v>
      </c>
      <c r="AY3" s="273"/>
    </row>
    <row r="4" spans="1:51" ht="31.2" customHeight="1" x14ac:dyDescent="0.3">
      <c r="A4" s="271" t="str">
        <f ca="1">CONCATENATE("AUDITORIA S33-S34dia de ",TEXT(TODAY(),"[$-0C0A]dd, mmmm, yyyy"))</f>
        <v>AUDITORIA S33-S34dia de 07, agosto, 2023</v>
      </c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S4" s="271" t="str">
        <f ca="1">CONCATENATE("AUDITORIA S33-S34 dia de ",TEXT(TODAY()+3,"[$-0C0A]dd, mmmm, yyyy"))</f>
        <v>AUDITORIA S33-S34 dia de 10, agosto, 2023</v>
      </c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U4" s="272"/>
      <c r="AV4" s="272"/>
      <c r="AW4" s="272"/>
      <c r="AX4" s="273"/>
      <c r="AY4" s="273"/>
    </row>
    <row r="5" spans="1:51" ht="31.2" x14ac:dyDescent="0.3">
      <c r="AK5" s="271" t="str">
        <f ca="1">CONCATENATE("AUDITORIA S33-S34 de ",TEXT(TODAY(),"[$-0C0A]dd, mmmm, yyyy"))</f>
        <v>AUDITORIA S33-S34 de 07, agosto, 2023</v>
      </c>
      <c r="AL5" s="271"/>
      <c r="AM5" s="271"/>
      <c r="AN5" s="271"/>
      <c r="AO5" s="271"/>
      <c r="AP5" s="271"/>
      <c r="AQ5" s="271"/>
      <c r="AR5" s="271"/>
      <c r="AS5" s="271"/>
      <c r="AT5" s="271"/>
      <c r="AU5" s="271"/>
      <c r="AV5" s="271"/>
      <c r="AW5" s="271"/>
      <c r="AX5" s="271"/>
      <c r="AY5" s="271"/>
    </row>
  </sheetData>
  <mergeCells count="8">
    <mergeCell ref="AK5:AY5"/>
    <mergeCell ref="K2:M3"/>
    <mergeCell ref="N2:O3"/>
    <mergeCell ref="AF2:AF3"/>
    <mergeCell ref="A4:O4"/>
    <mergeCell ref="S4:AG4"/>
    <mergeCell ref="AU3:AW4"/>
    <mergeCell ref="AX3:AY4"/>
  </mergeCells>
  <pageMargins left="0.25" right="0.25" top="0.75" bottom="0.75" header="0.3" footer="0.3"/>
  <pageSetup scale="76" fitToHeight="0" orientation="landscape" r:id="rId1"/>
  <rowBreaks count="2" manualBreakCount="2">
    <brk id="33" max="17" man="1"/>
    <brk id="60" max="17" man="1"/>
  </rowBreaks>
  <colBreaks count="1" manualBreakCount="1">
    <brk id="18" max="32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W4"/>
  <sheetViews>
    <sheetView view="pageBreakPreview" topLeftCell="H1" zoomScale="60" zoomScaleNormal="100" zoomScalePageLayoutView="70" workbookViewId="0">
      <selection activeCell="BA15" sqref="BA15"/>
    </sheetView>
  </sheetViews>
  <sheetFormatPr defaultColWidth="7.109375" defaultRowHeight="16.8" customHeight="1" x14ac:dyDescent="0.3"/>
  <cols>
    <col min="15" max="15" width="9.33203125" customWidth="1"/>
    <col min="36" max="53" width="7.44140625" customWidth="1"/>
  </cols>
  <sheetData>
    <row r="2" spans="1:49" ht="16.8" customHeight="1" x14ac:dyDescent="0.3">
      <c r="K2" s="272" t="s">
        <v>217</v>
      </c>
      <c r="L2" s="272"/>
      <c r="M2" s="272"/>
      <c r="N2" s="273">
        <f>[2]Dashboard!$E$2</f>
        <v>45123</v>
      </c>
      <c r="O2" s="273"/>
    </row>
    <row r="3" spans="1:49" ht="16.8" customHeight="1" x14ac:dyDescent="0.3">
      <c r="K3" s="272"/>
      <c r="L3" s="272"/>
      <c r="M3" s="272"/>
      <c r="N3" s="273"/>
      <c r="O3" s="273"/>
    </row>
    <row r="4" spans="1:49" ht="16.8" customHeight="1" x14ac:dyDescent="0.3">
      <c r="A4" s="271" t="str">
        <f ca="1">CONCATENATE("AUDITORIA S33-S34dia de ",TEXT(TODAY(),"[$-0C0A]dd, mmmm, yyyy"))</f>
        <v>AUDITORIA S33-S34dia de 07, agosto, 2023</v>
      </c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S4" s="142" t="str">
        <f ca="1">CONCATENATE("AUDITORIA S33-S34 dia de ",TEXT(TODAY()+3,"[$-0C0A]dd, mmmm, yyyy"))</f>
        <v>AUDITORIA S33-S34 dia de 10, agosto, 2023</v>
      </c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J4" s="142" t="str">
        <f ca="1">CONCATENATE("AUDITORIA S33,34,35,36 dia de ",TEXT(TODAY()+3,"[$-0C0A]dd, mmmm, yyyy"))</f>
        <v>AUDITORIA S33,34,35,36 dia de 10, agosto, 2023</v>
      </c>
      <c r="AK4" s="142"/>
      <c r="AL4" s="142"/>
      <c r="AM4" s="142"/>
      <c r="AN4" s="142"/>
      <c r="AO4" s="142"/>
      <c r="AP4" s="142"/>
      <c r="AQ4" s="142"/>
      <c r="AR4" s="142"/>
      <c r="AS4" s="142"/>
      <c r="AT4" s="142"/>
      <c r="AU4" s="142"/>
      <c r="AV4" s="142"/>
      <c r="AW4" s="142"/>
    </row>
  </sheetData>
  <mergeCells count="3">
    <mergeCell ref="K2:M3"/>
    <mergeCell ref="N2:O3"/>
    <mergeCell ref="A4:O4"/>
  </mergeCells>
  <pageMargins left="0.25" right="0.25" top="0.25" bottom="0" header="0" footer="0"/>
  <pageSetup fitToHeight="0" pageOrder="overThenDown" orientation="landscape" r:id="rId1"/>
  <rowBreaks count="1" manualBreakCount="1">
    <brk id="33" max="16383" man="1"/>
  </rowBreaks>
  <colBreaks count="1" manualBreakCount="1">
    <brk id="35" max="67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B1:I71"/>
  <sheetViews>
    <sheetView showGridLines="0" topLeftCell="A13" zoomScale="85" zoomScaleNormal="85" workbookViewId="0">
      <selection activeCell="D37" sqref="D37"/>
    </sheetView>
  </sheetViews>
  <sheetFormatPr defaultRowHeight="14.4" x14ac:dyDescent="0.3"/>
  <cols>
    <col min="1" max="1" width="5.88671875" customWidth="1"/>
    <col min="2" max="2" width="33.33203125" customWidth="1"/>
    <col min="3" max="3" width="32.33203125" customWidth="1"/>
    <col min="4" max="4" width="18.5546875" customWidth="1"/>
    <col min="5" max="5" width="16.33203125" customWidth="1"/>
    <col min="6" max="6" width="11.6640625" style="29" customWidth="1"/>
    <col min="7" max="7" width="9.88671875" style="11" customWidth="1"/>
    <col min="8" max="8" width="9.6640625" style="11" bestFit="1" customWidth="1"/>
    <col min="9" max="9" width="23.33203125" customWidth="1"/>
  </cols>
  <sheetData>
    <row r="1" spans="2:9" ht="43.2" customHeight="1" x14ac:dyDescent="0.3">
      <c r="C1" s="202" t="s">
        <v>0</v>
      </c>
      <c r="D1" s="203"/>
      <c r="E1" s="203"/>
      <c r="F1" s="203"/>
      <c r="G1" s="204"/>
    </row>
    <row r="2" spans="2:9" x14ac:dyDescent="0.3">
      <c r="C2" s="205"/>
      <c r="D2" s="206"/>
      <c r="E2" s="206"/>
      <c r="F2" s="206"/>
      <c r="G2" s="207"/>
    </row>
    <row r="3" spans="2:9" x14ac:dyDescent="0.3">
      <c r="C3" s="205"/>
      <c r="D3" s="206"/>
      <c r="E3" s="206"/>
      <c r="F3" s="206"/>
      <c r="G3" s="207"/>
    </row>
    <row r="4" spans="2:9" ht="41.4" customHeight="1" x14ac:dyDescent="0.3">
      <c r="B4" s="211" t="s">
        <v>48</v>
      </c>
      <c r="C4" s="205"/>
      <c r="D4" s="206"/>
      <c r="E4" s="206"/>
      <c r="F4" s="206"/>
      <c r="G4" s="207"/>
    </row>
    <row r="5" spans="2:9" ht="14.4" customHeight="1" x14ac:dyDescent="0.3">
      <c r="B5" s="212"/>
      <c r="C5" s="205"/>
      <c r="D5" s="206"/>
      <c r="E5" s="206"/>
      <c r="F5" s="206"/>
      <c r="G5" s="207"/>
    </row>
    <row r="6" spans="2:9" ht="28.8" x14ac:dyDescent="0.4">
      <c r="B6" s="10" t="s">
        <v>51</v>
      </c>
      <c r="C6" s="208"/>
      <c r="D6" s="209"/>
      <c r="E6" s="209"/>
      <c r="F6" s="209"/>
      <c r="G6" s="210"/>
      <c r="I6" s="28"/>
    </row>
    <row r="7" spans="2:9" x14ac:dyDescent="0.3">
      <c r="B7" s="10"/>
      <c r="C7" s="22"/>
      <c r="D7" s="22"/>
      <c r="E7" s="12"/>
      <c r="F7" s="24"/>
      <c r="G7" s="24"/>
    </row>
    <row r="8" spans="2:9" ht="31.2" x14ac:dyDescent="0.3">
      <c r="B8" s="10" t="s">
        <v>49</v>
      </c>
      <c r="C8" s="213" t="s">
        <v>4</v>
      </c>
      <c r="D8" s="213"/>
      <c r="E8" s="213"/>
      <c r="F8" s="24"/>
      <c r="G8" s="24"/>
    </row>
    <row r="9" spans="2:9" ht="17.399999999999999" x14ac:dyDescent="0.3">
      <c r="C9" s="214" t="s">
        <v>5</v>
      </c>
      <c r="D9" s="214"/>
      <c r="E9" s="214"/>
      <c r="F9" s="24"/>
      <c r="G9" s="24"/>
    </row>
    <row r="10" spans="2:9" ht="17.399999999999999" x14ac:dyDescent="0.3">
      <c r="C10" s="214" t="s">
        <v>6</v>
      </c>
      <c r="D10" s="214"/>
      <c r="E10" s="214"/>
      <c r="F10" s="24"/>
      <c r="G10" s="24"/>
    </row>
    <row r="11" spans="2:9" ht="17.399999999999999" x14ac:dyDescent="0.3">
      <c r="C11" s="214" t="s">
        <v>7</v>
      </c>
      <c r="D11" s="214"/>
      <c r="E11" s="214"/>
      <c r="F11" s="24"/>
      <c r="G11" s="24"/>
    </row>
    <row r="12" spans="2:9" ht="17.399999999999999" x14ac:dyDescent="0.3">
      <c r="C12" s="214" t="s">
        <v>8</v>
      </c>
      <c r="D12" s="214"/>
      <c r="E12" s="214"/>
      <c r="F12" s="24"/>
      <c r="G12" s="24"/>
    </row>
    <row r="13" spans="2:9" ht="17.399999999999999" x14ac:dyDescent="0.3">
      <c r="C13" s="214" t="s">
        <v>9</v>
      </c>
      <c r="D13" s="214"/>
      <c r="E13" s="214"/>
      <c r="F13" s="24"/>
      <c r="G13" s="24"/>
    </row>
    <row r="14" spans="2:9" ht="12.6" customHeight="1" x14ac:dyDescent="0.3">
      <c r="C14" s="10"/>
      <c r="D14" s="10"/>
      <c r="E14" s="10"/>
    </row>
    <row r="15" spans="2:9" s="4" customFormat="1" ht="15.6" customHeight="1" x14ac:dyDescent="0.35">
      <c r="B15" s="38" t="s">
        <v>10</v>
      </c>
      <c r="C15" s="16"/>
      <c r="D15" s="215" t="s">
        <v>11</v>
      </c>
      <c r="E15" s="216"/>
      <c r="F15" s="46" t="s">
        <v>12</v>
      </c>
      <c r="G15" s="45" t="s">
        <v>13</v>
      </c>
      <c r="H15" s="32" t="e">
        <f>G16</f>
        <v>#REF!</v>
      </c>
    </row>
    <row r="16" spans="2:9" s="5" customFormat="1" ht="12" customHeight="1" x14ac:dyDescent="0.3">
      <c r="B16" s="200" t="s">
        <v>14</v>
      </c>
      <c r="C16" s="201"/>
      <c r="D16" s="240"/>
      <c r="E16" s="241"/>
      <c r="F16" s="23" t="e">
        <f>AVERAGE('Formato Ejemplo 1'!G17,#REF!,#REF!,#REF!,#REF!,#REF!,#REF!,#REF!)</f>
        <v>#REF!</v>
      </c>
      <c r="G16" s="275" t="e">
        <f>AVERAGE('Formato Ejemplo 1'!H17,#REF!,#REF!,#REF!,#REF!,#REF!,#REF!,)</f>
        <v>#REF!</v>
      </c>
      <c r="H16" s="44"/>
    </row>
    <row r="17" spans="2:8" s="5" customFormat="1" ht="12" customHeight="1" x14ac:dyDescent="0.3">
      <c r="B17" s="200" t="s">
        <v>15</v>
      </c>
      <c r="C17" s="201"/>
      <c r="D17" s="240"/>
      <c r="E17" s="241"/>
      <c r="F17" s="23" t="e">
        <f>AVERAGE('Formato Ejemplo 1'!G18,#REF!,#REF!,#REF!,#REF!,#REF!,#REF!,#REF!)</f>
        <v>#REF!</v>
      </c>
      <c r="G17" s="275"/>
      <c r="H17" s="33"/>
    </row>
    <row r="18" spans="2:8" s="4" customFormat="1" ht="15.6" customHeight="1" x14ac:dyDescent="0.35">
      <c r="B18" s="38" t="s">
        <v>16</v>
      </c>
      <c r="C18" s="15"/>
      <c r="D18" s="215" t="s">
        <v>11</v>
      </c>
      <c r="E18" s="216"/>
      <c r="F18" s="46" t="s">
        <v>12</v>
      </c>
      <c r="G18" s="45" t="s">
        <v>13</v>
      </c>
      <c r="H18" s="32" t="e">
        <f>G19</f>
        <v>#REF!</v>
      </c>
    </row>
    <row r="19" spans="2:8" s="5" customFormat="1" ht="13.2" customHeight="1" x14ac:dyDescent="0.3">
      <c r="B19" s="218" t="s">
        <v>17</v>
      </c>
      <c r="C19" s="219"/>
      <c r="D19" s="240"/>
      <c r="E19" s="241"/>
      <c r="F19" s="23" t="e">
        <f>AVERAGE('Formato Ejemplo 1'!G20,#REF!,#REF!,#REF!,#REF!,#REF!,#REF!,#REF!)</f>
        <v>#REF!</v>
      </c>
      <c r="G19" s="275" t="e">
        <f>AVERAGE('Formato Ejemplo 1'!H20,'Formato Ejemplo 1'!H53,#REF!,#REF!,#REF!,#REF!,#REF!,#REF!)</f>
        <v>#REF!</v>
      </c>
      <c r="H19" s="33"/>
    </row>
    <row r="20" spans="2:8" s="5" customFormat="1" ht="13.2" customHeight="1" x14ac:dyDescent="0.3">
      <c r="B20" s="218" t="s">
        <v>18</v>
      </c>
      <c r="C20" s="219"/>
      <c r="D20" s="240"/>
      <c r="E20" s="241"/>
      <c r="F20" s="23" t="e">
        <f>AVERAGE('Formato Ejemplo 1'!G21,#REF!,#REF!,#REF!,#REF!,#REF!,#REF!,#REF!)</f>
        <v>#REF!</v>
      </c>
      <c r="G20" s="275"/>
      <c r="H20" s="33"/>
    </row>
    <row r="21" spans="2:8" s="5" customFormat="1" ht="13.2" customHeight="1" x14ac:dyDescent="0.3">
      <c r="B21" s="200" t="s">
        <v>19</v>
      </c>
      <c r="C21" s="221"/>
      <c r="D21" s="240"/>
      <c r="E21" s="241"/>
      <c r="F21" s="23" t="e">
        <f>AVERAGE('Formato Ejemplo 1'!G22,#REF!,#REF!,#REF!,#REF!,#REF!,#REF!,#REF!)</f>
        <v>#REF!</v>
      </c>
      <c r="G21" s="275"/>
      <c r="H21" s="33"/>
    </row>
    <row r="22" spans="2:8" s="4" customFormat="1" ht="15.6" customHeight="1" x14ac:dyDescent="0.35">
      <c r="B22" s="38" t="s">
        <v>20</v>
      </c>
      <c r="C22" s="16"/>
      <c r="D22" s="215" t="s">
        <v>11</v>
      </c>
      <c r="E22" s="216"/>
      <c r="F22" s="46" t="s">
        <v>12</v>
      </c>
      <c r="G22" s="45" t="s">
        <v>13</v>
      </c>
      <c r="H22" s="32" t="e">
        <f>G23</f>
        <v>#REF!</v>
      </c>
    </row>
    <row r="23" spans="2:8" s="5" customFormat="1" ht="13.2" customHeight="1" x14ac:dyDescent="0.3">
      <c r="B23" s="200" t="s">
        <v>21</v>
      </c>
      <c r="C23" s="201"/>
      <c r="D23" s="240"/>
      <c r="E23" s="241"/>
      <c r="F23" s="23" t="e">
        <f>AVERAGE('Formato Ejemplo 1'!G24,#REF!,#REF!,#REF!,#REF!,#REF!,#REF!,#REF!)</f>
        <v>#REF!</v>
      </c>
      <c r="G23" s="275" t="e">
        <f>AVERAGE('Formato Ejemplo 1'!H24,'Formato Ejemplo 1'!H57,#REF!,#REF!,#REF!,#REF!,#REF!,#REF!)</f>
        <v>#REF!</v>
      </c>
      <c r="H23" s="33"/>
    </row>
    <row r="24" spans="2:8" s="5" customFormat="1" ht="13.2" customHeight="1" x14ac:dyDescent="0.3">
      <c r="B24" s="200" t="s">
        <v>22</v>
      </c>
      <c r="C24" s="201"/>
      <c r="D24" s="240"/>
      <c r="E24" s="241"/>
      <c r="F24" s="23" t="e">
        <f>AVERAGE('Formato Ejemplo 1'!G25,#REF!,#REF!,#REF!,#REF!,#REF!,#REF!,#REF!)</f>
        <v>#REF!</v>
      </c>
      <c r="G24" s="275"/>
      <c r="H24" s="33"/>
    </row>
    <row r="25" spans="2:8" s="5" customFormat="1" ht="13.2" customHeight="1" x14ac:dyDescent="0.3">
      <c r="B25" s="19" t="s">
        <v>23</v>
      </c>
      <c r="C25" s="21"/>
      <c r="D25" s="240"/>
      <c r="E25" s="241"/>
      <c r="F25" s="23" t="e">
        <f>AVERAGE('Formato Ejemplo 1'!G26,#REF!,#REF!,#REF!,#REF!,#REF!,#REF!,#REF!)</f>
        <v>#REF!</v>
      </c>
      <c r="G25" s="275"/>
      <c r="H25" s="33"/>
    </row>
    <row r="26" spans="2:8" s="5" customFormat="1" ht="13.2" customHeight="1" x14ac:dyDescent="0.3">
      <c r="B26" s="200" t="s">
        <v>24</v>
      </c>
      <c r="C26" s="201"/>
      <c r="D26" s="240"/>
      <c r="E26" s="241"/>
      <c r="F26" s="23" t="e">
        <f>AVERAGE('Formato Ejemplo 1'!G27,#REF!,#REF!,#REF!,#REF!,#REF!,#REF!,#REF!)</f>
        <v>#REF!</v>
      </c>
      <c r="G26" s="275"/>
      <c r="H26" s="33"/>
    </row>
    <row r="27" spans="2:8" s="5" customFormat="1" ht="13.2" customHeight="1" x14ac:dyDescent="0.3">
      <c r="B27" s="6" t="s">
        <v>25</v>
      </c>
      <c r="C27" s="6"/>
      <c r="D27" s="240"/>
      <c r="E27" s="241"/>
      <c r="F27" s="23" t="e">
        <f>AVERAGE('Formato Ejemplo 1'!G28,#REF!,#REF!,#REF!,#REF!,#REF!,#REF!,#REF!)</f>
        <v>#REF!</v>
      </c>
      <c r="G27" s="275"/>
      <c r="H27" s="33"/>
    </row>
    <row r="28" spans="2:8" s="5" customFormat="1" ht="13.2" customHeight="1" x14ac:dyDescent="0.3">
      <c r="B28" s="6" t="s">
        <v>26</v>
      </c>
      <c r="C28" s="6"/>
      <c r="D28" s="240"/>
      <c r="E28" s="241"/>
      <c r="F28" s="23" t="e">
        <f>AVERAGE('Formato Ejemplo 1'!G29,#REF!,#REF!,#REF!,#REF!,#REF!,#REF!,#REF!)</f>
        <v>#REF!</v>
      </c>
      <c r="G28" s="275"/>
      <c r="H28" s="33"/>
    </row>
    <row r="29" spans="2:8" s="5" customFormat="1" ht="23.4" customHeight="1" x14ac:dyDescent="0.3">
      <c r="B29" s="222" t="s">
        <v>27</v>
      </c>
      <c r="C29" s="223"/>
      <c r="D29" s="240"/>
      <c r="E29" s="241"/>
      <c r="F29" s="23" t="e">
        <f>AVERAGE('Formato Ejemplo 1'!G30,#REF!,#REF!,#REF!,#REF!,#REF!,#REF!,#REF!)</f>
        <v>#REF!</v>
      </c>
      <c r="G29" s="275"/>
      <c r="H29" s="33"/>
    </row>
    <row r="30" spans="2:8" s="4" customFormat="1" ht="15.6" customHeight="1" x14ac:dyDescent="0.35">
      <c r="B30" s="38" t="s">
        <v>28</v>
      </c>
      <c r="C30" s="16"/>
      <c r="D30" s="215" t="s">
        <v>11</v>
      </c>
      <c r="E30" s="216"/>
      <c r="F30" s="46" t="s">
        <v>12</v>
      </c>
      <c r="G30" s="45" t="s">
        <v>13</v>
      </c>
      <c r="H30" s="32" t="e">
        <f>G31</f>
        <v>#REF!</v>
      </c>
    </row>
    <row r="31" spans="2:8" s="5" customFormat="1" ht="13.2" customHeight="1" x14ac:dyDescent="0.3">
      <c r="B31" s="200" t="s">
        <v>29</v>
      </c>
      <c r="C31" s="201"/>
      <c r="D31" s="240"/>
      <c r="E31" s="241"/>
      <c r="F31" s="23" t="e">
        <f>AVERAGE('Formato Ejemplo 1'!G32,#REF!,#REF!,#REF!,#REF!,#REF!,#REF!,#REF!)</f>
        <v>#REF!</v>
      </c>
      <c r="G31" s="275" t="e">
        <f>AVERAGE('Formato Ejemplo 1'!H32,'Formato Ejemplo 1'!H65,#REF!,#REF!,#REF!,#REF!,#REF!,#REF!)</f>
        <v>#REF!</v>
      </c>
      <c r="H31" s="33"/>
    </row>
    <row r="32" spans="2:8" s="5" customFormat="1" ht="13.2" customHeight="1" x14ac:dyDescent="0.3">
      <c r="B32" s="200" t="s">
        <v>30</v>
      </c>
      <c r="C32" s="201"/>
      <c r="D32" s="240"/>
      <c r="E32" s="241"/>
      <c r="F32" s="23" t="e">
        <f>AVERAGE('Formato Ejemplo 1'!G33,#REF!,#REF!,#REF!,#REF!,#REF!,#REF!,#REF!)</f>
        <v>#REF!</v>
      </c>
      <c r="G32" s="275"/>
      <c r="H32" s="33"/>
    </row>
    <row r="33" spans="2:8" s="4" customFormat="1" ht="18" x14ac:dyDescent="0.35">
      <c r="B33" s="38" t="s">
        <v>31</v>
      </c>
      <c r="C33" s="15"/>
      <c r="D33" s="215" t="s">
        <v>11</v>
      </c>
      <c r="E33" s="216"/>
      <c r="F33" s="46" t="s">
        <v>12</v>
      </c>
      <c r="G33" s="45" t="s">
        <v>13</v>
      </c>
      <c r="H33" s="32" t="e">
        <f>G34</f>
        <v>#REF!</v>
      </c>
    </row>
    <row r="34" spans="2:8" s="5" customFormat="1" ht="13.2" customHeight="1" x14ac:dyDescent="0.3">
      <c r="B34" s="19" t="s">
        <v>32</v>
      </c>
      <c r="C34" s="20"/>
      <c r="D34" s="20"/>
      <c r="E34" s="21"/>
      <c r="F34" s="23" t="e">
        <f>AVERAGE('Formato Ejemplo 1'!G35,#REF!,#REF!,#REF!,#REF!,#REF!,#REF!,#REF!)</f>
        <v>#REF!</v>
      </c>
      <c r="G34" s="275" t="e">
        <f>AVERAGE('Formato Ejemplo 1'!H35,'Formato Ejemplo 1'!H68,#REF!,#REF!,#REF!,#REF!,#REF!,#REF!)</f>
        <v>#REF!</v>
      </c>
      <c r="H34" s="33"/>
    </row>
    <row r="35" spans="2:8" s="5" customFormat="1" ht="13.2" customHeight="1" x14ac:dyDescent="0.3">
      <c r="B35" s="19" t="s">
        <v>33</v>
      </c>
      <c r="C35" s="20"/>
      <c r="D35" s="20"/>
      <c r="E35" s="21"/>
      <c r="F35" s="23" t="e">
        <f>AVERAGE('Formato Ejemplo 1'!G36,#REF!,#REF!,#REF!,#REF!,#REF!,#REF!,#REF!)</f>
        <v>#REF!</v>
      </c>
      <c r="G35" s="275"/>
      <c r="H35" s="33"/>
    </row>
    <row r="36" spans="2:8" s="26" customFormat="1" ht="19.95" customHeight="1" x14ac:dyDescent="0.35">
      <c r="B36" s="38" t="s">
        <v>34</v>
      </c>
      <c r="C36" s="31"/>
      <c r="D36" s="215" t="s">
        <v>11</v>
      </c>
      <c r="E36" s="216"/>
      <c r="F36" s="46" t="s">
        <v>12</v>
      </c>
      <c r="G36" s="45" t="s">
        <v>13</v>
      </c>
      <c r="H36" s="32" t="e">
        <f>G37</f>
        <v>#REF!</v>
      </c>
    </row>
    <row r="37" spans="2:8" s="5" customFormat="1" ht="13.95" customHeight="1" x14ac:dyDescent="0.3">
      <c r="B37" s="218" t="s">
        <v>35</v>
      </c>
      <c r="C37" s="219"/>
      <c r="D37" s="27"/>
      <c r="E37" s="7"/>
      <c r="F37" s="23" t="e">
        <f>AVERAGE('Formato Ejemplo 1'!G38,#REF!,#REF!,#REF!,#REF!,#REF!,#REF!,#REF!)</f>
        <v>#REF!</v>
      </c>
      <c r="G37" s="275" t="e">
        <f>AVERAGE('Formato Ejemplo 1'!H38,'Formato Ejemplo 1'!H71,#REF!,#REF!,#REF!,#REF!,#REF!,#REF!)</f>
        <v>#REF!</v>
      </c>
      <c r="H37" s="33"/>
    </row>
    <row r="38" spans="2:8" s="5" customFormat="1" ht="13.95" customHeight="1" x14ac:dyDescent="0.3">
      <c r="B38" s="218" t="s">
        <v>36</v>
      </c>
      <c r="C38" s="219"/>
      <c r="D38" s="27"/>
      <c r="E38" s="7"/>
      <c r="F38" s="23" t="e">
        <f>AVERAGE('Formato Ejemplo 1'!G39,#REF!,#REF!,#REF!,#REF!,#REF!,#REF!,#REF!)</f>
        <v>#REF!</v>
      </c>
      <c r="G38" s="275"/>
      <c r="H38" s="33"/>
    </row>
    <row r="39" spans="2:8" s="5" customFormat="1" ht="26.4" customHeight="1" x14ac:dyDescent="0.3">
      <c r="B39" s="218" t="s">
        <v>37</v>
      </c>
      <c r="C39" s="219"/>
      <c r="D39" s="17"/>
      <c r="E39" s="18"/>
      <c r="F39" s="23" t="e">
        <f>AVERAGE('Formato Ejemplo 1'!G40,#REF!,#REF!,#REF!,#REF!,#REF!,#REF!,#REF!)</f>
        <v>#REF!</v>
      </c>
      <c r="G39" s="275"/>
      <c r="H39" s="33"/>
    </row>
    <row r="40" spans="2:8" ht="21" customHeight="1" x14ac:dyDescent="0.3">
      <c r="B40" s="1"/>
      <c r="C40" s="244" t="s">
        <v>38</v>
      </c>
      <c r="D40" s="244"/>
      <c r="E40" s="245"/>
      <c r="F40" s="246" t="e">
        <f>SUM(F16:F17,F19:F21,F23:F29,F31:F32,F34:F35,F37:F39)</f>
        <v>#REF!</v>
      </c>
      <c r="G40" s="276"/>
      <c r="H40" s="34"/>
    </row>
    <row r="41" spans="2:8" ht="39.6" customHeight="1" x14ac:dyDescent="0.3">
      <c r="B41" s="2"/>
      <c r="C41" s="247" t="s">
        <v>40</v>
      </c>
      <c r="D41" s="248"/>
      <c r="E41" s="249"/>
      <c r="F41" s="277" t="e">
        <f>AVERAGE(G16,G19,G23,G31,G34,G37)</f>
        <v>#REF!</v>
      </c>
      <c r="G41" s="278"/>
    </row>
    <row r="42" spans="2:8" x14ac:dyDescent="0.3">
      <c r="C42" s="227"/>
      <c r="D42" s="227"/>
      <c r="E42" s="227"/>
    </row>
    <row r="47" spans="2:8" ht="21" customHeight="1" x14ac:dyDescent="0.3">
      <c r="B47" s="228" t="s">
        <v>42</v>
      </c>
      <c r="C47" s="229"/>
      <c r="D47" s="229"/>
      <c r="E47" s="229"/>
      <c r="F47" s="229"/>
      <c r="G47" s="230"/>
    </row>
    <row r="48" spans="2:8" ht="14.4" customHeight="1" x14ac:dyDescent="0.3">
      <c r="B48" s="231"/>
      <c r="C48" s="232"/>
      <c r="D48" s="232"/>
      <c r="E48" s="232"/>
      <c r="F48" s="232"/>
      <c r="G48" s="233"/>
    </row>
    <row r="49" spans="2:7" ht="18.600000000000001" customHeight="1" x14ac:dyDescent="0.3">
      <c r="B49" s="9">
        <v>1</v>
      </c>
      <c r="C49" s="8"/>
      <c r="D49" s="8"/>
      <c r="E49" s="8"/>
      <c r="F49" s="37"/>
      <c r="G49" s="25"/>
    </row>
    <row r="50" spans="2:7" ht="18.600000000000001" customHeight="1" x14ac:dyDescent="0.3">
      <c r="B50" s="9">
        <v>2</v>
      </c>
      <c r="C50" s="8"/>
      <c r="D50" s="8"/>
      <c r="E50" s="8"/>
      <c r="F50" s="37"/>
      <c r="G50" s="25"/>
    </row>
    <row r="51" spans="2:7" ht="18.600000000000001" customHeight="1" x14ac:dyDescent="0.3">
      <c r="B51" s="9">
        <v>3</v>
      </c>
      <c r="C51" s="8"/>
      <c r="D51" s="8"/>
      <c r="E51" s="8"/>
      <c r="F51" s="37"/>
      <c r="G51" s="25"/>
    </row>
    <row r="52" spans="2:7" ht="18.600000000000001" customHeight="1" x14ac:dyDescent="0.3">
      <c r="B52" s="9">
        <v>4</v>
      </c>
      <c r="C52" s="8"/>
      <c r="D52" s="8"/>
      <c r="E52" s="8"/>
      <c r="F52" s="37"/>
      <c r="G52" s="25"/>
    </row>
    <row r="53" spans="2:7" ht="18.600000000000001" customHeight="1" x14ac:dyDescent="0.3">
      <c r="B53" s="9">
        <v>5</v>
      </c>
      <c r="C53" s="8"/>
      <c r="D53" s="8"/>
      <c r="E53" s="8"/>
      <c r="F53" s="37"/>
      <c r="G53" s="25"/>
    </row>
    <row r="54" spans="2:7" ht="18.600000000000001" customHeight="1" x14ac:dyDescent="0.3">
      <c r="B54" s="9">
        <v>6</v>
      </c>
      <c r="C54" s="8"/>
      <c r="D54" s="8"/>
      <c r="E54" s="8"/>
      <c r="F54" s="37"/>
      <c r="G54" s="25"/>
    </row>
    <row r="55" spans="2:7" ht="18.600000000000001" customHeight="1" x14ac:dyDescent="0.3">
      <c r="B55" s="9">
        <v>7</v>
      </c>
      <c r="C55" s="8"/>
      <c r="D55" s="8"/>
      <c r="E55" s="8"/>
      <c r="F55" s="37"/>
      <c r="G55" s="25"/>
    </row>
    <row r="56" spans="2:7" ht="18.600000000000001" customHeight="1" x14ac:dyDescent="0.3">
      <c r="B56" s="9">
        <v>8</v>
      </c>
      <c r="C56" s="8"/>
      <c r="D56" s="8"/>
      <c r="E56" s="8"/>
      <c r="F56" s="37"/>
      <c r="G56" s="25"/>
    </row>
    <row r="57" spans="2:7" ht="18.600000000000001" customHeight="1" x14ac:dyDescent="0.3">
      <c r="B57" s="9">
        <v>9</v>
      </c>
      <c r="C57" s="8"/>
      <c r="D57" s="8"/>
      <c r="E57" s="8"/>
      <c r="F57" s="37"/>
      <c r="G57" s="25"/>
    </row>
    <row r="58" spans="2:7" ht="18.600000000000001" customHeight="1" x14ac:dyDescent="0.3">
      <c r="B58" s="9">
        <v>10</v>
      </c>
      <c r="C58" s="8"/>
      <c r="D58" s="8"/>
      <c r="E58" s="8"/>
      <c r="F58" s="37"/>
      <c r="G58" s="25"/>
    </row>
    <row r="59" spans="2:7" ht="18.600000000000001" customHeight="1" x14ac:dyDescent="0.3">
      <c r="B59" s="9">
        <v>11</v>
      </c>
      <c r="C59" s="8"/>
      <c r="D59" s="8"/>
      <c r="E59" s="8"/>
      <c r="F59" s="37"/>
      <c r="G59" s="25"/>
    </row>
    <row r="60" spans="2:7" ht="18.600000000000001" customHeight="1" x14ac:dyDescent="0.3">
      <c r="B60" s="9">
        <v>12</v>
      </c>
      <c r="C60" s="8"/>
      <c r="D60" s="8"/>
      <c r="E60" s="8"/>
      <c r="F60" s="37"/>
      <c r="G60" s="25"/>
    </row>
    <row r="61" spans="2:7" ht="18.600000000000001" customHeight="1" x14ac:dyDescent="0.3">
      <c r="B61" s="9">
        <v>13</v>
      </c>
      <c r="C61" s="8"/>
      <c r="D61" s="8"/>
      <c r="E61" s="8"/>
      <c r="F61" s="37"/>
      <c r="G61" s="25"/>
    </row>
    <row r="62" spans="2:7" ht="18.600000000000001" customHeight="1" x14ac:dyDescent="0.3">
      <c r="B62" s="9">
        <v>14</v>
      </c>
      <c r="C62" s="8"/>
      <c r="D62" s="8"/>
      <c r="E62" s="8"/>
      <c r="F62" s="37"/>
      <c r="G62" s="25"/>
    </row>
    <row r="63" spans="2:7" ht="18.600000000000001" customHeight="1" x14ac:dyDescent="0.3">
      <c r="B63" s="9">
        <v>15</v>
      </c>
      <c r="C63" s="8"/>
      <c r="D63" s="8"/>
      <c r="E63" s="8"/>
      <c r="F63" s="37"/>
      <c r="G63" s="25"/>
    </row>
    <row r="64" spans="2:7" ht="18.600000000000001" customHeight="1" x14ac:dyDescent="0.3">
      <c r="B64" s="9">
        <v>16</v>
      </c>
      <c r="C64" s="8"/>
      <c r="D64" s="8"/>
      <c r="E64" s="8"/>
      <c r="F64" s="37"/>
      <c r="G64" s="25"/>
    </row>
    <row r="65" spans="2:7" ht="18.600000000000001" customHeight="1" x14ac:dyDescent="0.3">
      <c r="B65" s="9">
        <v>17</v>
      </c>
      <c r="C65" s="8"/>
      <c r="D65" s="8"/>
      <c r="E65" s="8"/>
      <c r="F65" s="37"/>
      <c r="G65" s="25"/>
    </row>
    <row r="66" spans="2:7" ht="18.600000000000001" customHeight="1" x14ac:dyDescent="0.3">
      <c r="B66" s="9" t="s">
        <v>43</v>
      </c>
      <c r="C66" s="8"/>
      <c r="D66" s="8"/>
      <c r="E66" s="8"/>
      <c r="F66" s="37"/>
      <c r="G66" s="25"/>
    </row>
    <row r="68" spans="2:7" ht="4.2" customHeight="1" x14ac:dyDescent="0.3">
      <c r="B68" s="8"/>
      <c r="C68" s="8"/>
      <c r="D68" s="8"/>
      <c r="E68" s="8"/>
      <c r="F68" s="37"/>
      <c r="G68" s="25"/>
    </row>
    <row r="69" spans="2:7" ht="18.600000000000001" customHeight="1" x14ac:dyDescent="0.3">
      <c r="B69" s="8"/>
      <c r="C69" s="8"/>
      <c r="D69" s="8"/>
      <c r="E69" s="8"/>
      <c r="F69" s="37"/>
      <c r="G69" s="25"/>
    </row>
    <row r="70" spans="2:7" ht="18.600000000000001" customHeight="1" x14ac:dyDescent="0.3">
      <c r="B70" s="8"/>
      <c r="C70" s="8"/>
      <c r="D70" s="8"/>
      <c r="E70" s="8"/>
      <c r="F70" s="37"/>
      <c r="G70" s="25"/>
    </row>
    <row r="71" spans="2:7" ht="18.600000000000001" customHeight="1" x14ac:dyDescent="0.3">
      <c r="B71" s="8"/>
      <c r="C71" s="8"/>
      <c r="D71" s="8"/>
      <c r="E71" s="8"/>
      <c r="F71" s="37"/>
      <c r="G71" s="25"/>
    </row>
  </sheetData>
  <mergeCells count="54">
    <mergeCell ref="C42:E42"/>
    <mergeCell ref="B47:G48"/>
    <mergeCell ref="B37:C37"/>
    <mergeCell ref="B39:C39"/>
    <mergeCell ref="C40:E40"/>
    <mergeCell ref="F40:G40"/>
    <mergeCell ref="C41:E41"/>
    <mergeCell ref="F41:G41"/>
    <mergeCell ref="G37:G39"/>
    <mergeCell ref="B38:C38"/>
    <mergeCell ref="B20:C20"/>
    <mergeCell ref="D20:E20"/>
    <mergeCell ref="B21:C21"/>
    <mergeCell ref="D21:E21"/>
    <mergeCell ref="D22:E22"/>
    <mergeCell ref="B23:C23"/>
    <mergeCell ref="D23:E23"/>
    <mergeCell ref="B24:C24"/>
    <mergeCell ref="D24:E24"/>
    <mergeCell ref="D25:E25"/>
    <mergeCell ref="B26:C26"/>
    <mergeCell ref="D26:E26"/>
    <mergeCell ref="D27:E27"/>
    <mergeCell ref="D36:E36"/>
    <mergeCell ref="D28:E28"/>
    <mergeCell ref="D32:E32"/>
    <mergeCell ref="D33:E33"/>
    <mergeCell ref="C11:E11"/>
    <mergeCell ref="C12:E12"/>
    <mergeCell ref="C13:E13"/>
    <mergeCell ref="D15:E15"/>
    <mergeCell ref="B16:C16"/>
    <mergeCell ref="D16:E16"/>
    <mergeCell ref="C1:G6"/>
    <mergeCell ref="B4:B5"/>
    <mergeCell ref="C8:E8"/>
    <mergeCell ref="C9:E9"/>
    <mergeCell ref="C10:E10"/>
    <mergeCell ref="G19:G21"/>
    <mergeCell ref="G23:G29"/>
    <mergeCell ref="G31:G32"/>
    <mergeCell ref="G34:G35"/>
    <mergeCell ref="B17:C17"/>
    <mergeCell ref="D17:E17"/>
    <mergeCell ref="G16:G17"/>
    <mergeCell ref="D18:E18"/>
    <mergeCell ref="B19:C19"/>
    <mergeCell ref="D19:E19"/>
    <mergeCell ref="B29:C29"/>
    <mergeCell ref="D29:E29"/>
    <mergeCell ref="D30:E30"/>
    <mergeCell ref="B31:C31"/>
    <mergeCell ref="D31:E31"/>
    <mergeCell ref="B32:C32"/>
  </mergeCells>
  <printOptions horizontalCentered="1" verticalCentered="1"/>
  <pageMargins left="0" right="0" top="0" bottom="0" header="0.3" footer="0.3"/>
  <pageSetup scale="9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CDE9AD8CA8AA41B02EDEBCA7213088" ma:contentTypeVersion="13" ma:contentTypeDescription="Create a new document." ma:contentTypeScope="" ma:versionID="a6c756154713de727b1873029d9aa3e5">
  <xsd:schema xmlns:xsd="http://www.w3.org/2001/XMLSchema" xmlns:xs="http://www.w3.org/2001/XMLSchema" xmlns:p="http://schemas.microsoft.com/office/2006/metadata/properties" xmlns:ns2="b5300da1-a0ce-419a-ba01-51855e1c0493" xmlns:ns3="fea54b40-6a64-4d02-80b0-e732ca84b86b" targetNamespace="http://schemas.microsoft.com/office/2006/metadata/properties" ma:root="true" ma:fieldsID="38dc91636bfe0eaefba2e8cbbe4af540" ns2:_="" ns3:_="">
    <xsd:import namespace="b5300da1-a0ce-419a-ba01-51855e1c0493"/>
    <xsd:import namespace="fea54b40-6a64-4d02-80b0-e732ca84b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300da1-a0ce-419a-ba01-51855e1c04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554a3f6-733d-4b65-b463-5eac8ec6de9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a54b40-6a64-4d02-80b0-e732ca84b86b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b2dcd42-5005-4827-948e-9c2c7b359abf}" ma:internalName="TaxCatchAll" ma:showField="CatchAllData" ma:web="fea54b40-6a64-4d02-80b0-e732ca84b8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300da1-a0ce-419a-ba01-51855e1c0493">
      <Terms xmlns="http://schemas.microsoft.com/office/infopath/2007/PartnerControls"/>
    </lcf76f155ced4ddcb4097134ff3c332f>
    <TaxCatchAll xmlns="fea54b40-6a64-4d02-80b0-e732ca84b86b" xsi:nil="true"/>
  </documentManagement>
</p:properties>
</file>

<file path=customXml/itemProps1.xml><?xml version="1.0" encoding="utf-8"?>
<ds:datastoreItem xmlns:ds="http://schemas.openxmlformats.org/officeDocument/2006/customXml" ds:itemID="{4733F11E-C1CE-4D1E-88B7-1D05299061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300da1-a0ce-419a-ba01-51855e1c0493"/>
    <ds:schemaRef ds:uri="fea54b40-6a64-4d02-80b0-e732ca84b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90738F3-6BE8-4A9F-BA39-214FB9682A9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B6DB64D-9340-4758-A60C-3DAB523A9B50}">
  <ds:schemaRefs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b5300da1-a0ce-419a-ba01-51855e1c0493"/>
    <ds:schemaRef ds:uri="fea54b40-6a64-4d02-80b0-e732ca84b86b"/>
    <ds:schemaRef ds:uri="http://www.w3.org/XML/1998/namespace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Formato EN BLANCO</vt:lpstr>
      <vt:lpstr>Paretos_Editable</vt:lpstr>
      <vt:lpstr>Sheet5</vt:lpstr>
      <vt:lpstr>Tablas Base datos</vt:lpstr>
      <vt:lpstr>sql Server</vt:lpstr>
      <vt:lpstr>Formato Ejemplo 1</vt:lpstr>
      <vt:lpstr>Resultados Auditorias</vt:lpstr>
      <vt:lpstr>Consulta</vt:lpstr>
      <vt:lpstr>Consulta por auditor</vt:lpstr>
      <vt:lpstr>Sheet6</vt:lpstr>
      <vt:lpstr>Consulta acomulado</vt:lpstr>
      <vt:lpstr>Semanas</vt:lpstr>
      <vt:lpstr>Catergorias consolidado</vt:lpstr>
      <vt:lpstr>Paretos_Prueba</vt:lpstr>
      <vt:lpstr>Paretos_Acomulados</vt:lpstr>
      <vt:lpstr>Presentacion</vt:lpstr>
      <vt:lpstr>Presentacion (2)</vt:lpstr>
      <vt:lpstr>Sheet2</vt:lpstr>
      <vt:lpstr>RESULTADO GENERAL </vt:lpstr>
      <vt:lpstr>Presentacion!Print_Area</vt:lpstr>
      <vt:lpstr>'Presentacion (2)'!Print_Area</vt:lpstr>
      <vt:lpstr>Sheet2!Print_Area</vt:lpstr>
    </vt:vector>
  </TitlesOfParts>
  <Manager/>
  <Company>Medline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Rodriguez, Fernando</dc:creator>
  <cp:keywords/>
  <dc:description/>
  <cp:lastModifiedBy>Gutierrez, Diego</cp:lastModifiedBy>
  <cp:revision/>
  <cp:lastPrinted>2023-07-17T00:46:32Z</cp:lastPrinted>
  <dcterms:created xsi:type="dcterms:W3CDTF">2022-01-25T17:15:46Z</dcterms:created>
  <dcterms:modified xsi:type="dcterms:W3CDTF">2023-08-07T23:04:45Z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821e62d4-fcd1-47c2-85fc-44e9b13e50bf</vt:lpwstr>
  </property>
  <property fmtid="{D5CDD505-2E9C-101B-9397-08002B2CF9AE}" pid="3" name="Tags">
    <vt:lpwstr>Permanent</vt:lpwstr>
  </property>
  <property fmtid="{D5CDD505-2E9C-101B-9397-08002B2CF9AE}" pid="4" name="ContentTypeId">
    <vt:lpwstr>0x01010036CDE9AD8CA8AA41B02EDEBCA7213088</vt:lpwstr>
  </property>
  <property fmtid="{D5CDD505-2E9C-101B-9397-08002B2CF9AE}" pid="5" name="MediaServiceImageTags">
    <vt:lpwstr/>
  </property>
  <property fmtid="{D5CDD505-2E9C-101B-9397-08002B2CF9AE}" pid="6" name="Retention">
    <vt:lpwstr>P</vt:lpwstr>
  </property>
</Properties>
</file>